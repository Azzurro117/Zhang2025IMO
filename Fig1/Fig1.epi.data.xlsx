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_0_0\AAAAA.IBV\20250407_NEW\FIG\FIG1\"/>
    </mc:Choice>
  </mc:AlternateContent>
  <xr:revisionPtr revIDLastSave="0" documentId="13_ncr:1_{559A7427-A36A-4EB0-83E1-2750D161C27B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IBV" sheetId="1" r:id="rId1"/>
    <sheet name="AIV" sheetId="2" r:id="rId2"/>
    <sheet name="ARV" sheetId="3" r:id="rId3"/>
    <sheet name="IBDV" sheetId="4" r:id="rId4"/>
    <sheet name="NDV" sheetId="5" r:id="rId5"/>
    <sheet name="ILDV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6" l="1"/>
  <c r="G22" i="6"/>
  <c r="H20" i="6"/>
  <c r="G20" i="6"/>
  <c r="H19" i="6"/>
  <c r="G19" i="6"/>
  <c r="H18" i="6"/>
  <c r="G18" i="6"/>
  <c r="H17" i="6"/>
  <c r="G17" i="6"/>
  <c r="H15" i="6"/>
  <c r="G15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22" i="5"/>
  <c r="G22" i="5"/>
  <c r="G21" i="5"/>
  <c r="H20" i="5"/>
  <c r="G20" i="5"/>
  <c r="H19" i="5"/>
  <c r="G19" i="5"/>
  <c r="H18" i="5"/>
  <c r="G18" i="5"/>
  <c r="H17" i="5"/>
  <c r="G17" i="5"/>
  <c r="H16" i="5"/>
  <c r="H15" i="5"/>
  <c r="G15" i="5"/>
  <c r="H14" i="5"/>
  <c r="H13" i="5"/>
  <c r="G13" i="5"/>
  <c r="G12" i="5"/>
  <c r="H11" i="5"/>
  <c r="G11" i="5"/>
  <c r="H10" i="5"/>
  <c r="G10" i="5"/>
  <c r="H8" i="5"/>
  <c r="G8" i="5"/>
  <c r="H7" i="5"/>
  <c r="G7" i="5"/>
  <c r="H6" i="5"/>
  <c r="G6" i="5"/>
  <c r="H5" i="5"/>
  <c r="G5" i="5"/>
  <c r="G4" i="5"/>
  <c r="H3" i="5"/>
  <c r="G3" i="5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4" i="4"/>
  <c r="G14" i="4"/>
  <c r="H13" i="4"/>
  <c r="G13" i="4"/>
  <c r="H12" i="4"/>
  <c r="G12" i="4"/>
  <c r="H11" i="4"/>
  <c r="G11" i="4"/>
  <c r="H9" i="4"/>
  <c r="G9" i="4"/>
  <c r="H8" i="4"/>
  <c r="G8" i="4"/>
  <c r="H7" i="4"/>
  <c r="G7" i="4"/>
  <c r="H6" i="4"/>
  <c r="G6" i="4"/>
  <c r="H5" i="4"/>
  <c r="G5" i="4"/>
  <c r="H2" i="4"/>
  <c r="G2" i="4"/>
  <c r="H22" i="3"/>
  <c r="G22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1" i="3"/>
  <c r="G11" i="3"/>
  <c r="H10" i="3"/>
  <c r="G10" i="3"/>
  <c r="H9" i="3"/>
  <c r="G9" i="3"/>
  <c r="H7" i="3"/>
  <c r="G7" i="3"/>
  <c r="H4" i="3"/>
  <c r="G4" i="3"/>
  <c r="H3" i="3"/>
  <c r="G3" i="3"/>
  <c r="H2" i="3"/>
  <c r="G2" i="3"/>
  <c r="H22" i="2"/>
  <c r="G22" i="2"/>
  <c r="H19" i="2"/>
  <c r="G19" i="2"/>
  <c r="H10" i="2"/>
  <c r="G10" i="2"/>
  <c r="H8" i="2"/>
  <c r="G8" i="2"/>
  <c r="H4" i="2"/>
  <c r="G4" i="2"/>
  <c r="H2" i="2"/>
  <c r="G2" i="2"/>
  <c r="H3" i="1"/>
  <c r="H4" i="1"/>
  <c r="H5" i="1"/>
  <c r="H8" i="1"/>
  <c r="H9" i="1"/>
  <c r="H10" i="1"/>
  <c r="H11" i="1"/>
  <c r="H12" i="1"/>
  <c r="H13" i="1"/>
  <c r="H14" i="1"/>
  <c r="H15" i="1"/>
  <c r="H16" i="1"/>
  <c r="H17" i="1"/>
  <c r="H22" i="1"/>
  <c r="H2" i="1"/>
  <c r="G3" i="1"/>
  <c r="G4" i="1"/>
  <c r="G5" i="1"/>
  <c r="G7" i="1"/>
  <c r="G8" i="1"/>
  <c r="G10" i="1"/>
  <c r="G11" i="1"/>
  <c r="G13" i="1"/>
  <c r="G14" i="1"/>
  <c r="G15" i="1"/>
  <c r="G16" i="1"/>
  <c r="G17" i="1"/>
  <c r="G19" i="1"/>
  <c r="G20" i="1"/>
  <c r="G22" i="1"/>
  <c r="F22" i="6"/>
  <c r="E22" i="6"/>
  <c r="F21" i="6"/>
  <c r="H21" i="6" s="1"/>
  <c r="E21" i="6"/>
  <c r="G21" i="6" s="1"/>
  <c r="F20" i="6"/>
  <c r="E20" i="6"/>
  <c r="F19" i="6"/>
  <c r="E19" i="6"/>
  <c r="F18" i="6"/>
  <c r="E18" i="6"/>
  <c r="F17" i="6"/>
  <c r="E17" i="6"/>
  <c r="F16" i="6"/>
  <c r="H16" i="6" s="1"/>
  <c r="E16" i="6"/>
  <c r="G16" i="6" s="1"/>
  <c r="F15" i="6"/>
  <c r="E15" i="6"/>
  <c r="F14" i="6"/>
  <c r="H14" i="6" s="1"/>
  <c r="E14" i="6"/>
  <c r="G14" i="6" s="1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H4" i="6" s="1"/>
  <c r="E4" i="6"/>
  <c r="G4" i="6" s="1"/>
  <c r="F3" i="6"/>
  <c r="H3" i="6" s="1"/>
  <c r="E3" i="6"/>
  <c r="G3" i="6" s="1"/>
  <c r="F2" i="6"/>
  <c r="H2" i="6" s="1"/>
  <c r="E2" i="6"/>
  <c r="G2" i="6" s="1"/>
  <c r="F22" i="5"/>
  <c r="E22" i="5"/>
  <c r="F21" i="5"/>
  <c r="H21" i="5" s="1"/>
  <c r="E21" i="5"/>
  <c r="F20" i="5"/>
  <c r="E20" i="5"/>
  <c r="F19" i="5"/>
  <c r="E19" i="5"/>
  <c r="F18" i="5"/>
  <c r="E18" i="5"/>
  <c r="F17" i="5"/>
  <c r="E17" i="5"/>
  <c r="F16" i="5"/>
  <c r="E16" i="5"/>
  <c r="G16" i="5" s="1"/>
  <c r="F15" i="5"/>
  <c r="E15" i="5"/>
  <c r="F14" i="5"/>
  <c r="E14" i="5"/>
  <c r="G14" i="5" s="1"/>
  <c r="F13" i="5"/>
  <c r="E13" i="5"/>
  <c r="F12" i="5"/>
  <c r="H12" i="5" s="1"/>
  <c r="E12" i="5"/>
  <c r="F11" i="5"/>
  <c r="E11" i="5"/>
  <c r="F10" i="5"/>
  <c r="E10" i="5"/>
  <c r="F9" i="5"/>
  <c r="H9" i="5" s="1"/>
  <c r="E9" i="5"/>
  <c r="G9" i="5" s="1"/>
  <c r="F8" i="5"/>
  <c r="E8" i="5"/>
  <c r="F7" i="5"/>
  <c r="E7" i="5"/>
  <c r="F6" i="5"/>
  <c r="E6" i="5"/>
  <c r="F5" i="5"/>
  <c r="E5" i="5"/>
  <c r="F4" i="5"/>
  <c r="H4" i="5" s="1"/>
  <c r="E4" i="5"/>
  <c r="F3" i="5"/>
  <c r="E3" i="5"/>
  <c r="F2" i="5"/>
  <c r="H2" i="5" s="1"/>
  <c r="E2" i="5"/>
  <c r="G2" i="5" s="1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H15" i="4" s="1"/>
  <c r="E15" i="4"/>
  <c r="G15" i="4" s="1"/>
  <c r="F14" i="4"/>
  <c r="E14" i="4"/>
  <c r="F13" i="4"/>
  <c r="E13" i="4"/>
  <c r="F12" i="4"/>
  <c r="E12" i="4"/>
  <c r="F11" i="4"/>
  <c r="E11" i="4"/>
  <c r="F10" i="4"/>
  <c r="H10" i="4" s="1"/>
  <c r="E10" i="4"/>
  <c r="G10" i="4" s="1"/>
  <c r="F9" i="4"/>
  <c r="E9" i="4"/>
  <c r="F8" i="4"/>
  <c r="E8" i="4"/>
  <c r="F7" i="4"/>
  <c r="E7" i="4"/>
  <c r="F6" i="4"/>
  <c r="E6" i="4"/>
  <c r="F5" i="4"/>
  <c r="E5" i="4"/>
  <c r="F4" i="4"/>
  <c r="H4" i="4" s="1"/>
  <c r="E4" i="4"/>
  <c r="G4" i="4" s="1"/>
  <c r="F3" i="4"/>
  <c r="H3" i="4" s="1"/>
  <c r="E3" i="4"/>
  <c r="G3" i="4" s="1"/>
  <c r="F2" i="4"/>
  <c r="E2" i="4"/>
  <c r="F22" i="3"/>
  <c r="E22" i="3"/>
  <c r="F21" i="3"/>
  <c r="H21" i="3" s="1"/>
  <c r="E21" i="3"/>
  <c r="G21" i="3" s="1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H12" i="3" s="1"/>
  <c r="E12" i="3"/>
  <c r="G12" i="3" s="1"/>
  <c r="F11" i="3"/>
  <c r="E11" i="3"/>
  <c r="F10" i="3"/>
  <c r="E10" i="3"/>
  <c r="F9" i="3"/>
  <c r="E9" i="3"/>
  <c r="F8" i="3"/>
  <c r="H8" i="3" s="1"/>
  <c r="E8" i="3"/>
  <c r="G8" i="3" s="1"/>
  <c r="F7" i="3"/>
  <c r="E7" i="3"/>
  <c r="F6" i="3"/>
  <c r="H6" i="3" s="1"/>
  <c r="E6" i="3"/>
  <c r="G6" i="3" s="1"/>
  <c r="F5" i="3"/>
  <c r="H5" i="3" s="1"/>
  <c r="E5" i="3"/>
  <c r="G5" i="3" s="1"/>
  <c r="F4" i="3"/>
  <c r="E4" i="3"/>
  <c r="F3" i="3"/>
  <c r="E3" i="3"/>
  <c r="F2" i="3"/>
  <c r="E2" i="3"/>
  <c r="F22" i="2"/>
  <c r="E22" i="2"/>
  <c r="F21" i="2"/>
  <c r="H21" i="2" s="1"/>
  <c r="E21" i="2"/>
  <c r="G21" i="2" s="1"/>
  <c r="F20" i="2"/>
  <c r="H20" i="2" s="1"/>
  <c r="E20" i="2"/>
  <c r="G20" i="2" s="1"/>
  <c r="F19" i="2"/>
  <c r="E19" i="2"/>
  <c r="F18" i="2"/>
  <c r="H18" i="2" s="1"/>
  <c r="E18" i="2"/>
  <c r="G18" i="2" s="1"/>
  <c r="F17" i="2"/>
  <c r="H17" i="2" s="1"/>
  <c r="E17" i="2"/>
  <c r="G17" i="2" s="1"/>
  <c r="F16" i="2"/>
  <c r="H16" i="2" s="1"/>
  <c r="E16" i="2"/>
  <c r="G16" i="2" s="1"/>
  <c r="F15" i="2"/>
  <c r="H15" i="2" s="1"/>
  <c r="E15" i="2"/>
  <c r="G15" i="2" s="1"/>
  <c r="F14" i="2"/>
  <c r="H14" i="2" s="1"/>
  <c r="E14" i="2"/>
  <c r="G14" i="2" s="1"/>
  <c r="F13" i="2"/>
  <c r="H13" i="2" s="1"/>
  <c r="E13" i="2"/>
  <c r="G13" i="2" s="1"/>
  <c r="F12" i="2"/>
  <c r="H12" i="2" s="1"/>
  <c r="E12" i="2"/>
  <c r="G12" i="2" s="1"/>
  <c r="F11" i="2"/>
  <c r="H11" i="2" s="1"/>
  <c r="E11" i="2"/>
  <c r="G11" i="2" s="1"/>
  <c r="F10" i="2"/>
  <c r="E10" i="2"/>
  <c r="F9" i="2"/>
  <c r="H9" i="2" s="1"/>
  <c r="E9" i="2"/>
  <c r="G9" i="2" s="1"/>
  <c r="F8" i="2"/>
  <c r="E8" i="2"/>
  <c r="F7" i="2"/>
  <c r="H7" i="2" s="1"/>
  <c r="E7" i="2"/>
  <c r="G7" i="2" s="1"/>
  <c r="F6" i="2"/>
  <c r="H6" i="2" s="1"/>
  <c r="E6" i="2"/>
  <c r="G6" i="2" s="1"/>
  <c r="F5" i="2"/>
  <c r="H5" i="2" s="1"/>
  <c r="E5" i="2"/>
  <c r="G5" i="2" s="1"/>
  <c r="F4" i="2"/>
  <c r="E4" i="2"/>
  <c r="F3" i="2"/>
  <c r="H3" i="2" s="1"/>
  <c r="E3" i="2"/>
  <c r="G3" i="2" s="1"/>
  <c r="F2" i="2"/>
  <c r="E2" i="2"/>
  <c r="F3" i="1"/>
  <c r="F4" i="1"/>
  <c r="F5" i="1"/>
  <c r="F6" i="1"/>
  <c r="H6" i="1" s="1"/>
  <c r="F7" i="1"/>
  <c r="H7" i="1" s="1"/>
  <c r="F8" i="1"/>
  <c r="F9" i="1"/>
  <c r="F10" i="1"/>
  <c r="F11" i="1"/>
  <c r="F12" i="1"/>
  <c r="F13" i="1"/>
  <c r="F14" i="1"/>
  <c r="F15" i="1"/>
  <c r="F16" i="1"/>
  <c r="F17" i="1"/>
  <c r="F18" i="1"/>
  <c r="H18" i="1" s="1"/>
  <c r="F19" i="1"/>
  <c r="H19" i="1" s="1"/>
  <c r="F20" i="1"/>
  <c r="H20" i="1" s="1"/>
  <c r="F21" i="1"/>
  <c r="H21" i="1" s="1"/>
  <c r="F22" i="1"/>
  <c r="F2" i="1"/>
  <c r="E3" i="1"/>
  <c r="E4" i="1"/>
  <c r="E5" i="1"/>
  <c r="E6" i="1"/>
  <c r="G6" i="1" s="1"/>
  <c r="E7" i="1"/>
  <c r="E8" i="1"/>
  <c r="E9" i="1"/>
  <c r="G9" i="1" s="1"/>
  <c r="E10" i="1"/>
  <c r="E11" i="1"/>
  <c r="E12" i="1"/>
  <c r="G12" i="1" s="1"/>
  <c r="E13" i="1"/>
  <c r="E14" i="1"/>
  <c r="E15" i="1"/>
  <c r="E16" i="1"/>
  <c r="E17" i="1"/>
  <c r="E18" i="1"/>
  <c r="G18" i="1" s="1"/>
  <c r="E19" i="1"/>
  <c r="E20" i="1"/>
  <c r="E21" i="1"/>
  <c r="G21" i="1" s="1"/>
  <c r="E22" i="1"/>
  <c r="E2" i="1"/>
  <c r="G2" i="1" s="1"/>
</calcChain>
</file>

<file path=xl/sharedStrings.xml><?xml version="1.0" encoding="utf-8"?>
<sst xmlns="http://schemas.openxmlformats.org/spreadsheetml/2006/main" count="189" uniqueCount="36">
  <si>
    <t>year</t>
  </si>
  <si>
    <t>sample_size</t>
  </si>
  <si>
    <t>morbility</t>
  </si>
  <si>
    <t>mortality</t>
  </si>
  <si>
    <t>福建省</t>
  </si>
  <si>
    <t>河南省</t>
  </si>
  <si>
    <t>重庆市</t>
  </si>
  <si>
    <t>安徽省</t>
  </si>
  <si>
    <t>山东省</t>
  </si>
  <si>
    <t>江苏省</t>
  </si>
  <si>
    <t>新疆维吾尔自治区</t>
  </si>
  <si>
    <t>山西省</t>
  </si>
  <si>
    <t>江西省</t>
  </si>
  <si>
    <t>北京市</t>
  </si>
  <si>
    <t>甘肃省</t>
  </si>
  <si>
    <t>四川省</t>
  </si>
  <si>
    <t>湖南省</t>
  </si>
  <si>
    <t>陕西省</t>
  </si>
  <si>
    <t>青海省</t>
  </si>
  <si>
    <t>上海市</t>
  </si>
  <si>
    <t>天津市</t>
  </si>
  <si>
    <t>浙江省</t>
  </si>
  <si>
    <t>贵州省</t>
  </si>
  <si>
    <t>云南省</t>
  </si>
  <si>
    <t>广东省</t>
  </si>
  <si>
    <t>吉林省</t>
  </si>
  <si>
    <t>湖北省</t>
  </si>
  <si>
    <t>广西壮族自治区</t>
  </si>
  <si>
    <t>内蒙古自治区</t>
  </si>
  <si>
    <t>辽宁省</t>
  </si>
  <si>
    <t>黑龙江省</t>
  </si>
  <si>
    <t>宁夏回族自治区</t>
  </si>
  <si>
    <t>河北省</t>
  </si>
  <si>
    <t>#morbility</t>
    <phoneticPr fontId="18" type="noConversion"/>
  </si>
  <si>
    <t>mortality</t>
    <phoneticPr fontId="18" type="noConversion"/>
  </si>
  <si>
    <t>#mortality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</si>
</sst>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activeCell="B1" sqref="B1:B22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34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24</v>
      </c>
      <c r="L1">
        <v>27657</v>
      </c>
    </row>
    <row r="2" spans="1:12" x14ac:dyDescent="0.2">
      <c r="A2">
        <v>2003</v>
      </c>
      <c r="B2">
        <v>5378</v>
      </c>
      <c r="C2">
        <v>0.49600456273183202</v>
      </c>
      <c r="D2">
        <v>0.20813891477882901</v>
      </c>
      <c r="E2">
        <f>INT(B2*C2)</f>
        <v>2667</v>
      </c>
      <c r="F2">
        <f>INT(B2*C2*D2)</f>
        <v>555</v>
      </c>
      <c r="G2">
        <f>E2/B2*100</f>
        <v>49.590925994793608</v>
      </c>
      <c r="H2">
        <f>F2/B2*100</f>
        <v>10.319821494979546</v>
      </c>
      <c r="J2">
        <v>2</v>
      </c>
      <c r="K2" t="s">
        <v>25</v>
      </c>
      <c r="L2">
        <v>39646</v>
      </c>
    </row>
    <row r="3" spans="1:12" x14ac:dyDescent="0.2">
      <c r="A3">
        <v>2004</v>
      </c>
      <c r="B3">
        <v>5503</v>
      </c>
      <c r="C3">
        <v>0.45804818328469998</v>
      </c>
      <c r="D3">
        <v>0.321436419826932</v>
      </c>
      <c r="E3">
        <f t="shared" ref="E3:E22" si="0">INT(B3*C3)</f>
        <v>2520</v>
      </c>
      <c r="F3">
        <f t="shared" ref="F3:F22" si="1">INT(B3*C3*D3)</f>
        <v>810</v>
      </c>
      <c r="G3">
        <f t="shared" ref="G3:G22" si="2">E3/B3*100</f>
        <v>45.793203707068869</v>
      </c>
      <c r="H3">
        <f t="shared" ref="H3:H22" si="3">F3/B3*100</f>
        <v>14.719244048700709</v>
      </c>
      <c r="J3">
        <v>3</v>
      </c>
      <c r="K3" t="s">
        <v>26</v>
      </c>
      <c r="L3">
        <v>22168</v>
      </c>
    </row>
    <row r="4" spans="1:12" x14ac:dyDescent="0.2">
      <c r="A4">
        <v>2005</v>
      </c>
      <c r="B4">
        <v>8987</v>
      </c>
      <c r="C4">
        <v>0.274230889324099</v>
      </c>
      <c r="D4">
        <v>0.367767264647409</v>
      </c>
      <c r="E4">
        <f t="shared" si="0"/>
        <v>2464</v>
      </c>
      <c r="F4">
        <f t="shared" si="1"/>
        <v>906</v>
      </c>
      <c r="G4">
        <f t="shared" si="2"/>
        <v>27.417380660954709</v>
      </c>
      <c r="H4">
        <f t="shared" si="3"/>
        <v>10.081228441081562</v>
      </c>
      <c r="J4">
        <v>4</v>
      </c>
      <c r="K4" t="s">
        <v>27</v>
      </c>
      <c r="L4">
        <v>30082</v>
      </c>
    </row>
    <row r="5" spans="1:12" x14ac:dyDescent="0.2">
      <c r="A5">
        <v>2006</v>
      </c>
      <c r="B5">
        <v>11735</v>
      </c>
      <c r="C5">
        <v>0.46147254798561299</v>
      </c>
      <c r="D5">
        <v>0.142849491187371</v>
      </c>
      <c r="E5">
        <f t="shared" si="0"/>
        <v>5415</v>
      </c>
      <c r="F5">
        <f t="shared" si="1"/>
        <v>773</v>
      </c>
      <c r="G5">
        <f t="shared" si="2"/>
        <v>46.144013634426926</v>
      </c>
      <c r="H5">
        <f t="shared" si="3"/>
        <v>6.5871325095867057</v>
      </c>
      <c r="J5">
        <v>5</v>
      </c>
      <c r="K5" t="s">
        <v>28</v>
      </c>
      <c r="L5">
        <v>27507</v>
      </c>
    </row>
    <row r="6" spans="1:12" x14ac:dyDescent="0.2">
      <c r="A6">
        <v>2007</v>
      </c>
      <c r="B6">
        <v>9776</v>
      </c>
      <c r="C6">
        <v>0.36412660097703298</v>
      </c>
      <c r="D6">
        <v>0.35087421417702003</v>
      </c>
      <c r="E6">
        <f t="shared" si="0"/>
        <v>3559</v>
      </c>
      <c r="F6">
        <f t="shared" si="1"/>
        <v>1249</v>
      </c>
      <c r="G6">
        <f t="shared" si="2"/>
        <v>36.405482815057283</v>
      </c>
      <c r="H6">
        <f t="shared" si="3"/>
        <v>12.776186579378068</v>
      </c>
      <c r="J6">
        <v>6</v>
      </c>
      <c r="K6" t="s">
        <v>29</v>
      </c>
      <c r="L6">
        <v>20925</v>
      </c>
    </row>
    <row r="7" spans="1:12" x14ac:dyDescent="0.2">
      <c r="A7">
        <v>2008</v>
      </c>
      <c r="B7">
        <v>17685</v>
      </c>
      <c r="C7">
        <v>0.31735817156732099</v>
      </c>
      <c r="D7">
        <v>0.29252576748840498</v>
      </c>
      <c r="E7">
        <f t="shared" si="0"/>
        <v>5612</v>
      </c>
      <c r="F7">
        <f t="shared" si="1"/>
        <v>1641</v>
      </c>
      <c r="G7">
        <f t="shared" si="2"/>
        <v>31.733107152954481</v>
      </c>
      <c r="H7">
        <f t="shared" si="3"/>
        <v>9.2790500424088211</v>
      </c>
      <c r="J7">
        <v>7</v>
      </c>
      <c r="K7" t="s">
        <v>30</v>
      </c>
      <c r="L7">
        <v>37260</v>
      </c>
    </row>
    <row r="8" spans="1:12" x14ac:dyDescent="0.2">
      <c r="A8">
        <v>2009</v>
      </c>
      <c r="B8">
        <v>18245</v>
      </c>
      <c r="C8">
        <v>0.50836577573791097</v>
      </c>
      <c r="D8">
        <v>0.34651081366464498</v>
      </c>
      <c r="E8">
        <f t="shared" si="0"/>
        <v>9275</v>
      </c>
      <c r="F8">
        <f t="shared" si="1"/>
        <v>3213</v>
      </c>
      <c r="G8">
        <f t="shared" si="2"/>
        <v>50.835845437106052</v>
      </c>
      <c r="H8">
        <f t="shared" si="3"/>
        <v>17.610304192929569</v>
      </c>
      <c r="J8">
        <v>8</v>
      </c>
      <c r="K8" t="s">
        <v>31</v>
      </c>
      <c r="L8">
        <v>26642</v>
      </c>
    </row>
    <row r="9" spans="1:12" x14ac:dyDescent="0.2">
      <c r="A9">
        <v>2010</v>
      </c>
      <c r="B9">
        <v>20905</v>
      </c>
      <c r="C9">
        <v>0.44694249341264403</v>
      </c>
      <c r="D9">
        <v>0.18763682502321899</v>
      </c>
      <c r="E9">
        <f t="shared" si="0"/>
        <v>9343</v>
      </c>
      <c r="F9">
        <f t="shared" si="1"/>
        <v>1753</v>
      </c>
      <c r="G9">
        <f t="shared" si="2"/>
        <v>44.692657259028941</v>
      </c>
      <c r="H9">
        <f t="shared" si="3"/>
        <v>8.385553695288209</v>
      </c>
      <c r="J9">
        <v>9</v>
      </c>
      <c r="K9" t="s">
        <v>32</v>
      </c>
      <c r="L9">
        <v>13722</v>
      </c>
    </row>
    <row r="10" spans="1:12" x14ac:dyDescent="0.2">
      <c r="A10">
        <v>2011</v>
      </c>
      <c r="B10">
        <v>17890</v>
      </c>
      <c r="C10">
        <v>0.34830259755253801</v>
      </c>
      <c r="D10">
        <v>0.35197504612151498</v>
      </c>
      <c r="E10">
        <f t="shared" si="0"/>
        <v>6231</v>
      </c>
      <c r="F10">
        <f t="shared" si="1"/>
        <v>2193</v>
      </c>
      <c r="G10">
        <f t="shared" si="2"/>
        <v>34.82951369480157</v>
      </c>
      <c r="H10">
        <f t="shared" si="3"/>
        <v>12.258244829513695</v>
      </c>
      <c r="J10">
        <v>10</v>
      </c>
      <c r="K10" t="s">
        <v>4</v>
      </c>
      <c r="L10">
        <v>21417</v>
      </c>
    </row>
    <row r="11" spans="1:12" x14ac:dyDescent="0.2">
      <c r="A11">
        <v>2012</v>
      </c>
      <c r="B11">
        <v>24855</v>
      </c>
      <c r="C11">
        <v>0.34162661666050598</v>
      </c>
      <c r="D11">
        <v>0.39076156271621598</v>
      </c>
      <c r="E11">
        <f t="shared" si="0"/>
        <v>8491</v>
      </c>
      <c r="F11">
        <f t="shared" si="1"/>
        <v>3318</v>
      </c>
      <c r="G11">
        <f t="shared" si="2"/>
        <v>34.162140414403538</v>
      </c>
      <c r="H11">
        <f t="shared" si="3"/>
        <v>13.349426674713339</v>
      </c>
      <c r="J11">
        <v>11</v>
      </c>
      <c r="K11" t="s">
        <v>5</v>
      </c>
      <c r="L11">
        <v>21094</v>
      </c>
    </row>
    <row r="12" spans="1:12" x14ac:dyDescent="0.2">
      <c r="A12">
        <v>2013</v>
      </c>
      <c r="B12">
        <v>23260</v>
      </c>
      <c r="C12">
        <v>0.34010639311745799</v>
      </c>
      <c r="D12">
        <v>0.36613329323008698</v>
      </c>
      <c r="E12">
        <f t="shared" si="0"/>
        <v>7910</v>
      </c>
      <c r="F12">
        <f t="shared" si="1"/>
        <v>2896</v>
      </c>
      <c r="G12">
        <f t="shared" si="2"/>
        <v>34.006878761822875</v>
      </c>
      <c r="H12">
        <f t="shared" si="3"/>
        <v>12.450558899398107</v>
      </c>
      <c r="J12">
        <v>12</v>
      </c>
      <c r="K12" t="s">
        <v>6</v>
      </c>
      <c r="L12">
        <v>22020</v>
      </c>
    </row>
    <row r="13" spans="1:12" x14ac:dyDescent="0.2">
      <c r="A13">
        <v>2014</v>
      </c>
      <c r="B13">
        <v>22582</v>
      </c>
      <c r="C13">
        <v>0.50794236473739196</v>
      </c>
      <c r="D13">
        <v>0.22527217299211799</v>
      </c>
      <c r="E13">
        <f t="shared" si="0"/>
        <v>11470</v>
      </c>
      <c r="F13">
        <f t="shared" si="1"/>
        <v>2583</v>
      </c>
      <c r="G13">
        <f t="shared" si="2"/>
        <v>50.792666725710745</v>
      </c>
      <c r="H13">
        <f t="shared" si="3"/>
        <v>11.438313701177929</v>
      </c>
      <c r="J13">
        <v>13</v>
      </c>
      <c r="K13" t="s">
        <v>7</v>
      </c>
      <c r="L13">
        <v>21276</v>
      </c>
    </row>
    <row r="14" spans="1:12" x14ac:dyDescent="0.2">
      <c r="A14">
        <v>2015</v>
      </c>
      <c r="B14">
        <v>27075</v>
      </c>
      <c r="C14">
        <v>0.46954972930252598</v>
      </c>
      <c r="D14">
        <v>0.26173888067714901</v>
      </c>
      <c r="E14">
        <f t="shared" si="0"/>
        <v>12713</v>
      </c>
      <c r="F14">
        <f t="shared" si="1"/>
        <v>3327</v>
      </c>
      <c r="G14">
        <f t="shared" si="2"/>
        <v>46.954755309325947</v>
      </c>
      <c r="H14">
        <f t="shared" si="3"/>
        <v>12.288088642659281</v>
      </c>
      <c r="J14">
        <v>14</v>
      </c>
      <c r="K14" t="s">
        <v>8</v>
      </c>
      <c r="L14">
        <v>10569</v>
      </c>
    </row>
    <row r="15" spans="1:12" x14ac:dyDescent="0.2">
      <c r="A15">
        <v>2016</v>
      </c>
      <c r="B15">
        <v>28032</v>
      </c>
      <c r="C15">
        <v>0.42022975953295799</v>
      </c>
      <c r="D15">
        <v>0.397542361239903</v>
      </c>
      <c r="E15">
        <f t="shared" si="0"/>
        <v>11779</v>
      </c>
      <c r="F15">
        <f t="shared" si="1"/>
        <v>4683</v>
      </c>
      <c r="G15">
        <f t="shared" si="2"/>
        <v>42.01983447488584</v>
      </c>
      <c r="H15">
        <f t="shared" si="3"/>
        <v>16.705907534246574</v>
      </c>
      <c r="J15">
        <v>15</v>
      </c>
      <c r="K15" t="s">
        <v>9</v>
      </c>
      <c r="L15">
        <v>18118</v>
      </c>
    </row>
    <row r="16" spans="1:12" x14ac:dyDescent="0.2">
      <c r="A16">
        <v>2017</v>
      </c>
      <c r="B16">
        <v>33833</v>
      </c>
      <c r="C16">
        <v>0.44922070680186199</v>
      </c>
      <c r="D16">
        <v>0.30803945893421802</v>
      </c>
      <c r="E16">
        <f t="shared" si="0"/>
        <v>15198</v>
      </c>
      <c r="F16">
        <f t="shared" si="1"/>
        <v>4681</v>
      </c>
      <c r="G16">
        <f t="shared" si="2"/>
        <v>44.920639612212923</v>
      </c>
      <c r="H16">
        <f t="shared" si="3"/>
        <v>13.835604291667899</v>
      </c>
      <c r="J16">
        <v>16</v>
      </c>
      <c r="K16" t="s">
        <v>10</v>
      </c>
      <c r="L16">
        <v>11773</v>
      </c>
    </row>
    <row r="17" spans="1:12" x14ac:dyDescent="0.2">
      <c r="A17">
        <v>2018</v>
      </c>
      <c r="B17">
        <v>36327</v>
      </c>
      <c r="C17">
        <v>0.32312500188127202</v>
      </c>
      <c r="D17">
        <v>0.28367748649325197</v>
      </c>
      <c r="E17">
        <f t="shared" si="0"/>
        <v>11738</v>
      </c>
      <c r="F17">
        <f t="shared" si="1"/>
        <v>3329</v>
      </c>
      <c r="G17">
        <f t="shared" si="2"/>
        <v>32.312054394802765</v>
      </c>
      <c r="H17">
        <f t="shared" si="3"/>
        <v>9.1639827125829267</v>
      </c>
      <c r="J17">
        <v>17</v>
      </c>
      <c r="K17" t="s">
        <v>11</v>
      </c>
      <c r="L17">
        <v>8856</v>
      </c>
    </row>
    <row r="18" spans="1:12" x14ac:dyDescent="0.2">
      <c r="A18">
        <v>2019</v>
      </c>
      <c r="B18">
        <v>33571</v>
      </c>
      <c r="C18">
        <v>0.41817531893029802</v>
      </c>
      <c r="D18">
        <v>0.30324778361246002</v>
      </c>
      <c r="E18">
        <f t="shared" si="0"/>
        <v>14038</v>
      </c>
      <c r="F18">
        <f t="shared" si="1"/>
        <v>4257</v>
      </c>
      <c r="G18">
        <f t="shared" si="2"/>
        <v>41.815852968335761</v>
      </c>
      <c r="H18">
        <f t="shared" si="3"/>
        <v>12.680587411754193</v>
      </c>
      <c r="J18">
        <v>18</v>
      </c>
      <c r="K18" t="s">
        <v>12</v>
      </c>
      <c r="L18">
        <v>7970</v>
      </c>
    </row>
    <row r="19" spans="1:12" x14ac:dyDescent="0.2">
      <c r="A19">
        <v>2020</v>
      </c>
      <c r="B19">
        <v>33468</v>
      </c>
      <c r="C19">
        <v>0.31751389028504501</v>
      </c>
      <c r="D19">
        <v>0.19722654647193799</v>
      </c>
      <c r="E19">
        <f t="shared" si="0"/>
        <v>10626</v>
      </c>
      <c r="F19">
        <f t="shared" si="1"/>
        <v>2095</v>
      </c>
      <c r="G19">
        <f t="shared" si="2"/>
        <v>31.749731086410897</v>
      </c>
      <c r="H19">
        <f t="shared" si="3"/>
        <v>6.2597107684952791</v>
      </c>
      <c r="J19">
        <v>19</v>
      </c>
      <c r="K19" t="s">
        <v>13</v>
      </c>
      <c r="L19">
        <v>10096</v>
      </c>
    </row>
    <row r="20" spans="1:12" x14ac:dyDescent="0.2">
      <c r="A20">
        <v>2021</v>
      </c>
      <c r="B20">
        <v>30099</v>
      </c>
      <c r="C20">
        <v>0.30807134415954401</v>
      </c>
      <c r="D20">
        <v>0.16895744381472499</v>
      </c>
      <c r="E20">
        <f t="shared" si="0"/>
        <v>9272</v>
      </c>
      <c r="F20">
        <f t="shared" si="1"/>
        <v>1566</v>
      </c>
      <c r="G20">
        <f t="shared" si="2"/>
        <v>30.805010133227018</v>
      </c>
      <c r="H20">
        <f t="shared" si="3"/>
        <v>5.2028306588258744</v>
      </c>
      <c r="J20">
        <v>20</v>
      </c>
      <c r="K20" t="s">
        <v>14</v>
      </c>
      <c r="L20">
        <v>9222</v>
      </c>
    </row>
    <row r="21" spans="1:12" x14ac:dyDescent="0.2">
      <c r="A21">
        <v>2022</v>
      </c>
      <c r="B21">
        <v>26731</v>
      </c>
      <c r="C21">
        <v>0.27180187124758998</v>
      </c>
      <c r="D21">
        <v>0.315124157676473</v>
      </c>
      <c r="E21">
        <f t="shared" si="0"/>
        <v>7265</v>
      </c>
      <c r="F21">
        <f t="shared" si="1"/>
        <v>2289</v>
      </c>
      <c r="G21">
        <f t="shared" si="2"/>
        <v>27.178182634394521</v>
      </c>
      <c r="H21">
        <f t="shared" si="3"/>
        <v>8.5630915416557549</v>
      </c>
      <c r="J21">
        <v>21</v>
      </c>
      <c r="K21" t="s">
        <v>15</v>
      </c>
      <c r="L21">
        <v>5828</v>
      </c>
    </row>
    <row r="22" spans="1:12" x14ac:dyDescent="0.2">
      <c r="A22">
        <v>2023</v>
      </c>
      <c r="B22">
        <v>26353</v>
      </c>
      <c r="C22">
        <v>0.246844442468137</v>
      </c>
      <c r="D22">
        <v>0.29525262606330199</v>
      </c>
      <c r="E22">
        <f t="shared" si="0"/>
        <v>6505</v>
      </c>
      <c r="F22">
        <f t="shared" si="1"/>
        <v>1920</v>
      </c>
      <c r="G22">
        <f t="shared" si="2"/>
        <v>24.684096687284178</v>
      </c>
      <c r="H22">
        <f t="shared" si="3"/>
        <v>7.2856980229954846</v>
      </c>
      <c r="J22">
        <v>22</v>
      </c>
      <c r="K22" t="s">
        <v>16</v>
      </c>
      <c r="L22">
        <v>7850</v>
      </c>
    </row>
    <row r="23" spans="1:12" x14ac:dyDescent="0.2">
      <c r="J23">
        <v>23</v>
      </c>
      <c r="K23" t="s">
        <v>17</v>
      </c>
      <c r="L23">
        <v>2419</v>
      </c>
    </row>
    <row r="24" spans="1:12" x14ac:dyDescent="0.2">
      <c r="J24">
        <v>24</v>
      </c>
      <c r="K24" t="s">
        <v>18</v>
      </c>
      <c r="L24">
        <v>5625</v>
      </c>
    </row>
    <row r="25" spans="1:12" x14ac:dyDescent="0.2">
      <c r="J25">
        <v>25</v>
      </c>
      <c r="K25" t="s">
        <v>19</v>
      </c>
      <c r="L25">
        <v>6985</v>
      </c>
    </row>
    <row r="26" spans="1:12" x14ac:dyDescent="0.2">
      <c r="J26">
        <v>26</v>
      </c>
      <c r="K26" t="s">
        <v>20</v>
      </c>
      <c r="L26">
        <v>7830</v>
      </c>
    </row>
    <row r="27" spans="1:12" x14ac:dyDescent="0.2">
      <c r="J27">
        <v>27</v>
      </c>
      <c r="K27" t="s">
        <v>21</v>
      </c>
      <c r="L27">
        <v>3180</v>
      </c>
    </row>
    <row r="28" spans="1:12" x14ac:dyDescent="0.2">
      <c r="J28">
        <v>28</v>
      </c>
      <c r="K28" t="s">
        <v>22</v>
      </c>
      <c r="L28">
        <v>8674</v>
      </c>
    </row>
    <row r="29" spans="1:12" x14ac:dyDescent="0.2">
      <c r="J29">
        <v>29</v>
      </c>
      <c r="K29" t="s">
        <v>23</v>
      </c>
      <c r="L29">
        <v>5879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B1" sqref="B1:B10485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30</v>
      </c>
      <c r="L1">
        <v>11003</v>
      </c>
    </row>
    <row r="2" spans="1:12" x14ac:dyDescent="0.2">
      <c r="A2">
        <v>2003</v>
      </c>
      <c r="B2">
        <v>96</v>
      </c>
      <c r="C2">
        <v>0.35099873647559399</v>
      </c>
      <c r="D2">
        <v>8.3890423285774895E-2</v>
      </c>
      <c r="E2">
        <f>INT(B2*C2)</f>
        <v>33</v>
      </c>
      <c r="F2">
        <f>INT(B2*C2*D2)</f>
        <v>2</v>
      </c>
      <c r="G2">
        <f>E2/B2*100</f>
        <v>34.375</v>
      </c>
      <c r="H2">
        <f>F2/B2*100</f>
        <v>2.083333333333333</v>
      </c>
      <c r="J2">
        <v>2</v>
      </c>
      <c r="K2" t="s">
        <v>31</v>
      </c>
      <c r="L2">
        <v>10622</v>
      </c>
    </row>
    <row r="3" spans="1:12" x14ac:dyDescent="0.2">
      <c r="A3">
        <v>2004</v>
      </c>
      <c r="B3">
        <v>1347</v>
      </c>
      <c r="C3">
        <v>0.33854726364370402</v>
      </c>
      <c r="D3">
        <v>0.105940232223365</v>
      </c>
      <c r="E3">
        <f t="shared" ref="E3:E22" si="0">INT(B3*C3)</f>
        <v>456</v>
      </c>
      <c r="F3">
        <f t="shared" ref="F3:F22" si="1">INT(B3*C3*D3)</f>
        <v>48</v>
      </c>
      <c r="G3">
        <f t="shared" ref="G3:G22" si="2">E3/B3*100</f>
        <v>33.853006681514472</v>
      </c>
      <c r="H3">
        <f t="shared" ref="H3:H22" si="3">F3/B3*100</f>
        <v>3.5634743875278394</v>
      </c>
      <c r="J3">
        <v>3</v>
      </c>
      <c r="K3" t="s">
        <v>28</v>
      </c>
      <c r="L3">
        <v>12692</v>
      </c>
    </row>
    <row r="4" spans="1:12" x14ac:dyDescent="0.2">
      <c r="A4">
        <v>2005</v>
      </c>
      <c r="B4">
        <v>2193</v>
      </c>
      <c r="C4">
        <v>0.34249561957549302</v>
      </c>
      <c r="D4">
        <v>5.5681128127034803E-2</v>
      </c>
      <c r="E4">
        <f t="shared" si="0"/>
        <v>751</v>
      </c>
      <c r="F4">
        <f t="shared" si="1"/>
        <v>41</v>
      </c>
      <c r="G4">
        <f t="shared" si="2"/>
        <v>34.245326037391699</v>
      </c>
      <c r="H4">
        <f t="shared" si="3"/>
        <v>1.8695850433196535</v>
      </c>
      <c r="J4">
        <v>4</v>
      </c>
      <c r="K4" t="s">
        <v>29</v>
      </c>
      <c r="L4">
        <v>10933</v>
      </c>
    </row>
    <row r="5" spans="1:12" x14ac:dyDescent="0.2">
      <c r="A5">
        <v>2006</v>
      </c>
      <c r="B5">
        <v>3103</v>
      </c>
      <c r="C5">
        <v>0.32196441367268602</v>
      </c>
      <c r="D5">
        <v>0.112102682397235</v>
      </c>
      <c r="E5">
        <f t="shared" si="0"/>
        <v>999</v>
      </c>
      <c r="F5">
        <f t="shared" si="1"/>
        <v>111</v>
      </c>
      <c r="G5">
        <f t="shared" si="2"/>
        <v>32.19465033838221</v>
      </c>
      <c r="H5">
        <f t="shared" si="3"/>
        <v>3.577183370931357</v>
      </c>
      <c r="J5">
        <v>5</v>
      </c>
      <c r="K5" t="s">
        <v>26</v>
      </c>
      <c r="L5">
        <v>14495</v>
      </c>
    </row>
    <row r="6" spans="1:12" x14ac:dyDescent="0.2">
      <c r="A6">
        <v>2007</v>
      </c>
      <c r="B6">
        <v>4044</v>
      </c>
      <c r="C6">
        <v>0.28272989378310698</v>
      </c>
      <c r="D6">
        <v>6.3362820588517901E-2</v>
      </c>
      <c r="E6">
        <f t="shared" si="0"/>
        <v>1143</v>
      </c>
      <c r="F6">
        <f t="shared" si="1"/>
        <v>72</v>
      </c>
      <c r="G6">
        <f t="shared" si="2"/>
        <v>28.264094955489615</v>
      </c>
      <c r="H6">
        <f t="shared" si="3"/>
        <v>1.7804154302670623</v>
      </c>
      <c r="J6">
        <v>6</v>
      </c>
      <c r="K6" t="s">
        <v>25</v>
      </c>
      <c r="L6">
        <v>12947</v>
      </c>
    </row>
    <row r="7" spans="1:12" x14ac:dyDescent="0.2">
      <c r="A7">
        <v>2008</v>
      </c>
      <c r="B7">
        <v>4640</v>
      </c>
      <c r="C7">
        <v>0.23688994003459801</v>
      </c>
      <c r="D7">
        <v>0.148212001984939</v>
      </c>
      <c r="E7">
        <f t="shared" si="0"/>
        <v>1099</v>
      </c>
      <c r="F7">
        <f t="shared" si="1"/>
        <v>162</v>
      </c>
      <c r="G7">
        <f t="shared" si="2"/>
        <v>23.685344827586206</v>
      </c>
      <c r="H7">
        <f t="shared" si="3"/>
        <v>3.4913793103448274</v>
      </c>
      <c r="J7">
        <v>7</v>
      </c>
      <c r="K7" t="s">
        <v>24</v>
      </c>
      <c r="L7">
        <v>12145</v>
      </c>
    </row>
    <row r="8" spans="1:12" x14ac:dyDescent="0.2">
      <c r="A8">
        <v>2009</v>
      </c>
      <c r="B8">
        <v>4925</v>
      </c>
      <c r="C8">
        <v>0.254843300930224</v>
      </c>
      <c r="D8">
        <v>5.1608998130541303E-2</v>
      </c>
      <c r="E8">
        <f t="shared" si="0"/>
        <v>1255</v>
      </c>
      <c r="F8">
        <f t="shared" si="1"/>
        <v>64</v>
      </c>
      <c r="G8">
        <f t="shared" si="2"/>
        <v>25.482233502538072</v>
      </c>
      <c r="H8">
        <f t="shared" si="3"/>
        <v>1.2994923857868019</v>
      </c>
      <c r="J8">
        <v>8</v>
      </c>
      <c r="K8" t="s">
        <v>8</v>
      </c>
      <c r="L8">
        <v>8174</v>
      </c>
    </row>
    <row r="9" spans="1:12" x14ac:dyDescent="0.2">
      <c r="A9">
        <v>2010</v>
      </c>
      <c r="B9">
        <v>6052</v>
      </c>
      <c r="C9">
        <v>0.35863587167114003</v>
      </c>
      <c r="D9">
        <v>0.13614332140190499</v>
      </c>
      <c r="E9">
        <f t="shared" si="0"/>
        <v>2170</v>
      </c>
      <c r="F9">
        <f t="shared" si="1"/>
        <v>295</v>
      </c>
      <c r="G9">
        <f t="shared" si="2"/>
        <v>35.855915399867811</v>
      </c>
      <c r="H9">
        <f t="shared" si="3"/>
        <v>4.8744216787838734</v>
      </c>
      <c r="J9">
        <v>9</v>
      </c>
      <c r="K9" t="s">
        <v>4</v>
      </c>
      <c r="L9">
        <v>7773</v>
      </c>
    </row>
    <row r="10" spans="1:12" x14ac:dyDescent="0.2">
      <c r="A10">
        <v>2011</v>
      </c>
      <c r="B10">
        <v>7120</v>
      </c>
      <c r="C10">
        <v>0.35227295607328402</v>
      </c>
      <c r="D10">
        <v>5.9895746626425501E-2</v>
      </c>
      <c r="E10">
        <f t="shared" si="0"/>
        <v>2508</v>
      </c>
      <c r="F10">
        <f t="shared" si="1"/>
        <v>150</v>
      </c>
      <c r="G10">
        <f t="shared" si="2"/>
        <v>35.224719101123597</v>
      </c>
      <c r="H10">
        <f t="shared" si="3"/>
        <v>2.106741573033708</v>
      </c>
      <c r="J10">
        <v>10</v>
      </c>
      <c r="K10" t="s">
        <v>6</v>
      </c>
      <c r="L10">
        <v>10721</v>
      </c>
    </row>
    <row r="11" spans="1:12" x14ac:dyDescent="0.2">
      <c r="A11">
        <v>2012</v>
      </c>
      <c r="B11">
        <v>7811</v>
      </c>
      <c r="C11">
        <v>0.27649947947356901</v>
      </c>
      <c r="D11">
        <v>0.107110897889361</v>
      </c>
      <c r="E11">
        <f t="shared" si="0"/>
        <v>2159</v>
      </c>
      <c r="F11">
        <f t="shared" si="1"/>
        <v>231</v>
      </c>
      <c r="G11">
        <f t="shared" si="2"/>
        <v>27.640506977339651</v>
      </c>
      <c r="H11">
        <f t="shared" si="3"/>
        <v>2.9573678146204072</v>
      </c>
      <c r="J11">
        <v>11</v>
      </c>
      <c r="K11" t="s">
        <v>7</v>
      </c>
      <c r="L11">
        <v>7373</v>
      </c>
    </row>
    <row r="12" spans="1:12" x14ac:dyDescent="0.2">
      <c r="A12">
        <v>2013</v>
      </c>
      <c r="B12">
        <v>8782</v>
      </c>
      <c r="C12">
        <v>0.25196674407925501</v>
      </c>
      <c r="D12">
        <v>9.2269335631281105E-2</v>
      </c>
      <c r="E12">
        <f t="shared" si="0"/>
        <v>2212</v>
      </c>
      <c r="F12">
        <f t="shared" si="1"/>
        <v>204</v>
      </c>
      <c r="G12">
        <f t="shared" si="2"/>
        <v>25.18788430881348</v>
      </c>
      <c r="H12">
        <f t="shared" si="3"/>
        <v>2.3229332726030516</v>
      </c>
      <c r="J12">
        <v>12</v>
      </c>
      <c r="K12" t="s">
        <v>9</v>
      </c>
      <c r="L12">
        <v>6102</v>
      </c>
    </row>
    <row r="13" spans="1:12" x14ac:dyDescent="0.2">
      <c r="A13">
        <v>2014</v>
      </c>
      <c r="B13">
        <v>9476</v>
      </c>
      <c r="C13">
        <v>0.24698046152479899</v>
      </c>
      <c r="D13">
        <v>5.7705774705391399E-2</v>
      </c>
      <c r="E13">
        <f t="shared" si="0"/>
        <v>2340</v>
      </c>
      <c r="F13">
        <f t="shared" si="1"/>
        <v>135</v>
      </c>
      <c r="G13">
        <f t="shared" si="2"/>
        <v>24.693963697762769</v>
      </c>
      <c r="H13">
        <f t="shared" si="3"/>
        <v>1.4246517517940058</v>
      </c>
      <c r="J13">
        <v>13</v>
      </c>
      <c r="K13" t="s">
        <v>32</v>
      </c>
      <c r="L13">
        <v>9045</v>
      </c>
    </row>
    <row r="14" spans="1:12" x14ac:dyDescent="0.2">
      <c r="A14">
        <v>2015</v>
      </c>
      <c r="B14">
        <v>10073</v>
      </c>
      <c r="C14">
        <v>0.37560009851586101</v>
      </c>
      <c r="D14">
        <v>8.5270886442158397E-2</v>
      </c>
      <c r="E14">
        <f t="shared" si="0"/>
        <v>3783</v>
      </c>
      <c r="F14">
        <f t="shared" si="1"/>
        <v>322</v>
      </c>
      <c r="G14">
        <f t="shared" si="2"/>
        <v>37.555842350838873</v>
      </c>
      <c r="H14">
        <f t="shared" si="3"/>
        <v>3.1966643502432244</v>
      </c>
      <c r="J14">
        <v>14</v>
      </c>
      <c r="K14" t="s">
        <v>14</v>
      </c>
      <c r="L14">
        <v>6365</v>
      </c>
    </row>
    <row r="15" spans="1:12" x14ac:dyDescent="0.2">
      <c r="A15">
        <v>2016</v>
      </c>
      <c r="B15">
        <v>11436</v>
      </c>
      <c r="C15">
        <v>0.28732491196133197</v>
      </c>
      <c r="D15">
        <v>0.123534493679181</v>
      </c>
      <c r="E15">
        <f t="shared" si="0"/>
        <v>3285</v>
      </c>
      <c r="F15">
        <f t="shared" si="1"/>
        <v>405</v>
      </c>
      <c r="G15">
        <f t="shared" si="2"/>
        <v>28.725078698845753</v>
      </c>
      <c r="H15">
        <f t="shared" si="3"/>
        <v>3.5414480587618051</v>
      </c>
      <c r="J15">
        <v>15</v>
      </c>
      <c r="K15" t="s">
        <v>12</v>
      </c>
      <c r="L15">
        <v>5453</v>
      </c>
    </row>
    <row r="16" spans="1:12" x14ac:dyDescent="0.2">
      <c r="A16">
        <v>2017</v>
      </c>
      <c r="B16">
        <v>11799</v>
      </c>
      <c r="C16">
        <v>0.22419620521832301</v>
      </c>
      <c r="D16">
        <v>0.15190405240049601</v>
      </c>
      <c r="E16">
        <f t="shared" si="0"/>
        <v>2645</v>
      </c>
      <c r="F16">
        <f t="shared" si="1"/>
        <v>401</v>
      </c>
      <c r="G16">
        <f t="shared" si="2"/>
        <v>22.417153996101362</v>
      </c>
      <c r="H16">
        <f t="shared" si="3"/>
        <v>3.3985931011102637</v>
      </c>
      <c r="J16">
        <v>16</v>
      </c>
      <c r="K16" t="s">
        <v>10</v>
      </c>
      <c r="L16">
        <v>4231</v>
      </c>
    </row>
    <row r="17" spans="1:12" x14ac:dyDescent="0.2">
      <c r="A17">
        <v>2018</v>
      </c>
      <c r="B17">
        <v>13048</v>
      </c>
      <c r="C17">
        <v>0.23241691600997</v>
      </c>
      <c r="D17">
        <v>0.10191006932640399</v>
      </c>
      <c r="E17">
        <f t="shared" si="0"/>
        <v>3032</v>
      </c>
      <c r="F17">
        <f t="shared" si="1"/>
        <v>309</v>
      </c>
      <c r="G17">
        <f t="shared" si="2"/>
        <v>23.237277743715513</v>
      </c>
      <c r="H17">
        <f t="shared" si="3"/>
        <v>2.3681790312691597</v>
      </c>
      <c r="J17">
        <v>17</v>
      </c>
      <c r="K17" t="s">
        <v>11</v>
      </c>
      <c r="L17">
        <v>4621</v>
      </c>
    </row>
    <row r="18" spans="1:12" x14ac:dyDescent="0.2">
      <c r="A18">
        <v>2019</v>
      </c>
      <c r="B18">
        <v>13001</v>
      </c>
      <c r="C18">
        <v>0.22092863759025899</v>
      </c>
      <c r="D18">
        <v>6.5687687753234095E-2</v>
      </c>
      <c r="E18">
        <f t="shared" si="0"/>
        <v>2872</v>
      </c>
      <c r="F18">
        <f t="shared" si="1"/>
        <v>188</v>
      </c>
      <c r="G18">
        <f t="shared" si="2"/>
        <v>22.090608414737329</v>
      </c>
      <c r="H18">
        <f t="shared" si="3"/>
        <v>1.4460426121067611</v>
      </c>
      <c r="J18">
        <v>18</v>
      </c>
      <c r="K18" t="s">
        <v>16</v>
      </c>
      <c r="L18">
        <v>5971</v>
      </c>
    </row>
    <row r="19" spans="1:12" x14ac:dyDescent="0.2">
      <c r="A19">
        <v>2020</v>
      </c>
      <c r="B19">
        <v>12930</v>
      </c>
      <c r="C19">
        <v>0.25859107766300399</v>
      </c>
      <c r="D19">
        <v>0.10986967305187099</v>
      </c>
      <c r="E19">
        <f t="shared" si="0"/>
        <v>3343</v>
      </c>
      <c r="F19">
        <f t="shared" si="1"/>
        <v>367</v>
      </c>
      <c r="G19">
        <f t="shared" si="2"/>
        <v>25.854601701469448</v>
      </c>
      <c r="H19">
        <f t="shared" si="3"/>
        <v>2.8383604021655064</v>
      </c>
      <c r="J19">
        <v>19</v>
      </c>
      <c r="K19" t="s">
        <v>13</v>
      </c>
      <c r="L19">
        <v>3684</v>
      </c>
    </row>
    <row r="20" spans="1:12" x14ac:dyDescent="0.2">
      <c r="A20">
        <v>2021</v>
      </c>
      <c r="B20">
        <v>12858</v>
      </c>
      <c r="C20">
        <v>0.206874969578348</v>
      </c>
      <c r="D20">
        <v>7.1579211703501594E-2</v>
      </c>
      <c r="E20">
        <f t="shared" si="0"/>
        <v>2659</v>
      </c>
      <c r="F20">
        <f t="shared" si="1"/>
        <v>190</v>
      </c>
      <c r="G20">
        <f t="shared" si="2"/>
        <v>20.679732462280292</v>
      </c>
      <c r="H20">
        <f t="shared" si="3"/>
        <v>1.4776792658267226</v>
      </c>
      <c r="J20">
        <v>20</v>
      </c>
      <c r="K20" t="s">
        <v>22</v>
      </c>
      <c r="L20">
        <v>1735</v>
      </c>
    </row>
    <row r="21" spans="1:12" x14ac:dyDescent="0.2">
      <c r="A21">
        <v>2022</v>
      </c>
      <c r="B21">
        <v>12787</v>
      </c>
      <c r="C21">
        <v>0.31951286334078799</v>
      </c>
      <c r="D21">
        <v>0.14884385381359599</v>
      </c>
      <c r="E21">
        <f t="shared" si="0"/>
        <v>4085</v>
      </c>
      <c r="F21">
        <f t="shared" si="1"/>
        <v>608</v>
      </c>
      <c r="G21">
        <f t="shared" si="2"/>
        <v>31.946508172362552</v>
      </c>
      <c r="H21">
        <f t="shared" si="3"/>
        <v>4.7548291233283804</v>
      </c>
      <c r="J21">
        <v>21</v>
      </c>
      <c r="K21" t="s">
        <v>20</v>
      </c>
      <c r="L21">
        <v>1718</v>
      </c>
    </row>
    <row r="22" spans="1:12" x14ac:dyDescent="0.2">
      <c r="A22">
        <v>2023</v>
      </c>
      <c r="B22">
        <v>13888</v>
      </c>
      <c r="C22">
        <v>0.35324730863794701</v>
      </c>
      <c r="D22">
        <v>9.2844976314809202E-2</v>
      </c>
      <c r="E22">
        <f t="shared" si="0"/>
        <v>4905</v>
      </c>
      <c r="F22">
        <f t="shared" si="1"/>
        <v>455</v>
      </c>
      <c r="G22">
        <f t="shared" si="2"/>
        <v>35.318260368663594</v>
      </c>
      <c r="H22">
        <f t="shared" si="3"/>
        <v>3.2762096774193545</v>
      </c>
      <c r="J22">
        <v>22</v>
      </c>
      <c r="K22" t="s">
        <v>23</v>
      </c>
      <c r="L22">
        <v>1495</v>
      </c>
    </row>
    <row r="23" spans="1:12" x14ac:dyDescent="0.2">
      <c r="J23">
        <v>23</v>
      </c>
      <c r="K23" t="s">
        <v>21</v>
      </c>
      <c r="L23">
        <v>978</v>
      </c>
    </row>
    <row r="24" spans="1:12" x14ac:dyDescent="0.2">
      <c r="J24">
        <v>24</v>
      </c>
      <c r="K24" t="s">
        <v>18</v>
      </c>
      <c r="L24">
        <v>1133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>
      <selection activeCell="H1" sqref="H1:H10485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25</v>
      </c>
      <c r="L1">
        <v>11131</v>
      </c>
    </row>
    <row r="2" spans="1:12" x14ac:dyDescent="0.2">
      <c r="A2">
        <v>2003</v>
      </c>
      <c r="B2">
        <v>475</v>
      </c>
      <c r="C2">
        <v>0.20157161944080099</v>
      </c>
      <c r="D2">
        <v>7.57676258566789E-2</v>
      </c>
      <c r="E2">
        <f>INT(B2*C2)</f>
        <v>95</v>
      </c>
      <c r="F2">
        <f>INT(B2*C2*D2)</f>
        <v>7</v>
      </c>
      <c r="G2">
        <f>E2/B2*100</f>
        <v>20</v>
      </c>
      <c r="H2">
        <f>F2/B2*100</f>
        <v>1.4736842105263157</v>
      </c>
      <c r="J2">
        <v>2</v>
      </c>
      <c r="K2" t="s">
        <v>29</v>
      </c>
      <c r="L2">
        <v>8233</v>
      </c>
    </row>
    <row r="3" spans="1:12" x14ac:dyDescent="0.2">
      <c r="A3">
        <v>2004</v>
      </c>
      <c r="B3">
        <v>1174</v>
      </c>
      <c r="C3">
        <v>0.19333335084375</v>
      </c>
      <c r="D3">
        <v>7.1732477506156994E-2</v>
      </c>
      <c r="E3">
        <f t="shared" ref="E3:E22" si="0">INT(B3*C3)</f>
        <v>226</v>
      </c>
      <c r="F3">
        <f t="shared" ref="F3:F22" si="1">INT(B3*C3*D3)</f>
        <v>16</v>
      </c>
      <c r="G3">
        <f t="shared" ref="G3:G22" si="2">E3/B3*100</f>
        <v>19.250425894378196</v>
      </c>
      <c r="H3">
        <f t="shared" ref="H3:H22" si="3">F3/B3*100</f>
        <v>1.362862010221465</v>
      </c>
      <c r="J3">
        <v>3</v>
      </c>
      <c r="K3" t="s">
        <v>24</v>
      </c>
      <c r="L3">
        <v>9065</v>
      </c>
    </row>
    <row r="4" spans="1:12" x14ac:dyDescent="0.2">
      <c r="A4">
        <v>2005</v>
      </c>
      <c r="B4">
        <v>1684</v>
      </c>
      <c r="C4">
        <v>0.26015143184922601</v>
      </c>
      <c r="D4">
        <v>7.8758256207220295E-2</v>
      </c>
      <c r="E4">
        <f t="shared" si="0"/>
        <v>438</v>
      </c>
      <c r="F4">
        <f t="shared" si="1"/>
        <v>34</v>
      </c>
      <c r="G4">
        <f t="shared" si="2"/>
        <v>26.009501187648453</v>
      </c>
      <c r="H4">
        <f t="shared" si="3"/>
        <v>2.0190023752969122</v>
      </c>
      <c r="J4">
        <v>4</v>
      </c>
      <c r="K4" t="s">
        <v>27</v>
      </c>
      <c r="L4">
        <v>9904</v>
      </c>
    </row>
    <row r="5" spans="1:12" x14ac:dyDescent="0.2">
      <c r="A5">
        <v>2006</v>
      </c>
      <c r="B5">
        <v>2381</v>
      </c>
      <c r="C5">
        <v>0.21396671871188999</v>
      </c>
      <c r="D5">
        <v>8.7047800968866801E-2</v>
      </c>
      <c r="E5">
        <f t="shared" si="0"/>
        <v>509</v>
      </c>
      <c r="F5">
        <f t="shared" si="1"/>
        <v>44</v>
      </c>
      <c r="G5">
        <f t="shared" si="2"/>
        <v>21.377572448551028</v>
      </c>
      <c r="H5">
        <f t="shared" si="3"/>
        <v>1.8479630407391854</v>
      </c>
      <c r="J5">
        <v>5</v>
      </c>
      <c r="K5" t="s">
        <v>26</v>
      </c>
      <c r="L5">
        <v>11197</v>
      </c>
    </row>
    <row r="6" spans="1:12" x14ac:dyDescent="0.2">
      <c r="A6">
        <v>2007</v>
      </c>
      <c r="B6">
        <v>3118</v>
      </c>
      <c r="C6">
        <v>0.213338104402646</v>
      </c>
      <c r="D6">
        <v>8.3908631722442797E-2</v>
      </c>
      <c r="E6">
        <f t="shared" si="0"/>
        <v>665</v>
      </c>
      <c r="F6">
        <f t="shared" si="1"/>
        <v>55</v>
      </c>
      <c r="G6">
        <f t="shared" si="2"/>
        <v>21.327774214239898</v>
      </c>
      <c r="H6">
        <f t="shared" si="3"/>
        <v>1.763951250801796</v>
      </c>
      <c r="J6">
        <v>6</v>
      </c>
      <c r="K6" t="s">
        <v>28</v>
      </c>
      <c r="L6">
        <v>8710</v>
      </c>
    </row>
    <row r="7" spans="1:12" x14ac:dyDescent="0.2">
      <c r="A7">
        <v>2008</v>
      </c>
      <c r="B7">
        <v>3759</v>
      </c>
      <c r="C7">
        <v>0.30616387834306802</v>
      </c>
      <c r="D7">
        <v>6.8100809317547806E-2</v>
      </c>
      <c r="E7">
        <f t="shared" si="0"/>
        <v>1150</v>
      </c>
      <c r="F7">
        <f t="shared" si="1"/>
        <v>78</v>
      </c>
      <c r="G7">
        <f t="shared" si="2"/>
        <v>30.593242883745674</v>
      </c>
      <c r="H7">
        <f t="shared" si="3"/>
        <v>2.0750199521149244</v>
      </c>
      <c r="J7">
        <v>7</v>
      </c>
      <c r="K7" t="s">
        <v>31</v>
      </c>
      <c r="L7">
        <v>10284</v>
      </c>
    </row>
    <row r="8" spans="1:12" x14ac:dyDescent="0.2">
      <c r="A8">
        <v>2009</v>
      </c>
      <c r="B8">
        <v>4673</v>
      </c>
      <c r="C8">
        <v>0.199796254746615</v>
      </c>
      <c r="D8">
        <v>6.67278728680685E-2</v>
      </c>
      <c r="E8">
        <f t="shared" si="0"/>
        <v>933</v>
      </c>
      <c r="F8">
        <f t="shared" si="1"/>
        <v>62</v>
      </c>
      <c r="G8">
        <f t="shared" si="2"/>
        <v>19.965760753263428</v>
      </c>
      <c r="H8">
        <f t="shared" si="3"/>
        <v>1.326770811042157</v>
      </c>
      <c r="J8">
        <v>8</v>
      </c>
      <c r="K8" t="s">
        <v>7</v>
      </c>
      <c r="L8">
        <v>7789</v>
      </c>
    </row>
    <row r="9" spans="1:12" x14ac:dyDescent="0.2">
      <c r="A9">
        <v>2010</v>
      </c>
      <c r="B9">
        <v>5138</v>
      </c>
      <c r="C9">
        <v>0.20689062604215</v>
      </c>
      <c r="D9">
        <v>8.7442799960263107E-2</v>
      </c>
      <c r="E9">
        <f t="shared" si="0"/>
        <v>1063</v>
      </c>
      <c r="F9">
        <f t="shared" si="1"/>
        <v>92</v>
      </c>
      <c r="G9">
        <f t="shared" si="2"/>
        <v>20.688984040482676</v>
      </c>
      <c r="H9">
        <f t="shared" si="3"/>
        <v>1.7905799922148697</v>
      </c>
      <c r="J9">
        <v>9</v>
      </c>
      <c r="K9" t="s">
        <v>8</v>
      </c>
      <c r="L9">
        <v>8145</v>
      </c>
    </row>
    <row r="10" spans="1:12" x14ac:dyDescent="0.2">
      <c r="A10">
        <v>2011</v>
      </c>
      <c r="B10">
        <v>6394</v>
      </c>
      <c r="C10">
        <v>0.31073846027720697</v>
      </c>
      <c r="D10">
        <v>7.5330827606376299E-2</v>
      </c>
      <c r="E10">
        <f t="shared" si="0"/>
        <v>1986</v>
      </c>
      <c r="F10">
        <f t="shared" si="1"/>
        <v>149</v>
      </c>
      <c r="G10">
        <f t="shared" si="2"/>
        <v>31.060369096027525</v>
      </c>
      <c r="H10">
        <f t="shared" si="3"/>
        <v>2.3303096653112294</v>
      </c>
      <c r="J10">
        <v>10</v>
      </c>
      <c r="K10" t="s">
        <v>4</v>
      </c>
      <c r="L10">
        <v>6986</v>
      </c>
    </row>
    <row r="11" spans="1:12" x14ac:dyDescent="0.2">
      <c r="A11">
        <v>2012</v>
      </c>
      <c r="B11">
        <v>6631</v>
      </c>
      <c r="C11">
        <v>0.11934700645506401</v>
      </c>
      <c r="D11">
        <v>9.3112957593984899E-2</v>
      </c>
      <c r="E11">
        <f t="shared" si="0"/>
        <v>791</v>
      </c>
      <c r="F11">
        <f t="shared" si="1"/>
        <v>73</v>
      </c>
      <c r="G11">
        <f t="shared" si="2"/>
        <v>11.928819182627056</v>
      </c>
      <c r="H11">
        <f t="shared" si="3"/>
        <v>1.1008897602171619</v>
      </c>
      <c r="J11">
        <v>11</v>
      </c>
      <c r="K11" t="s">
        <v>9</v>
      </c>
      <c r="L11">
        <v>5383</v>
      </c>
    </row>
    <row r="12" spans="1:12" x14ac:dyDescent="0.2">
      <c r="A12">
        <v>2013</v>
      </c>
      <c r="B12">
        <v>7732</v>
      </c>
      <c r="C12">
        <v>0.18572427202016101</v>
      </c>
      <c r="D12">
        <v>8.7977862823754596E-2</v>
      </c>
      <c r="E12">
        <f t="shared" si="0"/>
        <v>1436</v>
      </c>
      <c r="F12">
        <f t="shared" si="1"/>
        <v>126</v>
      </c>
      <c r="G12">
        <f t="shared" si="2"/>
        <v>18.572167615106054</v>
      </c>
      <c r="H12">
        <f t="shared" si="3"/>
        <v>1.6295913088463527</v>
      </c>
      <c r="J12">
        <v>12</v>
      </c>
      <c r="K12" t="s">
        <v>5</v>
      </c>
      <c r="L12">
        <v>6373</v>
      </c>
    </row>
    <row r="13" spans="1:12" x14ac:dyDescent="0.2">
      <c r="A13">
        <v>2014</v>
      </c>
      <c r="B13">
        <v>8337</v>
      </c>
      <c r="C13">
        <v>0.29718536792788702</v>
      </c>
      <c r="D13">
        <v>9.8219162726309206E-2</v>
      </c>
      <c r="E13">
        <f t="shared" si="0"/>
        <v>2477</v>
      </c>
      <c r="F13">
        <f t="shared" si="1"/>
        <v>243</v>
      </c>
      <c r="G13">
        <f t="shared" si="2"/>
        <v>29.710927192035502</v>
      </c>
      <c r="H13">
        <f t="shared" si="3"/>
        <v>2.9147175242893129</v>
      </c>
      <c r="J13">
        <v>13</v>
      </c>
      <c r="K13" t="s">
        <v>32</v>
      </c>
      <c r="L13">
        <v>5238</v>
      </c>
    </row>
    <row r="14" spans="1:12" x14ac:dyDescent="0.2">
      <c r="A14">
        <v>2015</v>
      </c>
      <c r="B14">
        <v>9248</v>
      </c>
      <c r="C14">
        <v>0.17408309387974399</v>
      </c>
      <c r="D14">
        <v>9.1721861867699803E-2</v>
      </c>
      <c r="E14">
        <f t="shared" si="0"/>
        <v>1609</v>
      </c>
      <c r="F14">
        <f t="shared" si="1"/>
        <v>147</v>
      </c>
      <c r="G14">
        <f t="shared" si="2"/>
        <v>17.398356401384081</v>
      </c>
      <c r="H14">
        <f t="shared" si="3"/>
        <v>1.5895328719723185</v>
      </c>
      <c r="J14">
        <v>14</v>
      </c>
      <c r="K14" t="s">
        <v>11</v>
      </c>
      <c r="L14">
        <v>2662</v>
      </c>
    </row>
    <row r="15" spans="1:12" x14ac:dyDescent="0.2">
      <c r="A15">
        <v>2016</v>
      </c>
      <c r="B15">
        <v>9959</v>
      </c>
      <c r="C15">
        <v>0.235708920401521</v>
      </c>
      <c r="D15">
        <v>9.1851846594363504E-2</v>
      </c>
      <c r="E15">
        <f t="shared" si="0"/>
        <v>2347</v>
      </c>
      <c r="F15">
        <f t="shared" si="1"/>
        <v>215</v>
      </c>
      <c r="G15">
        <f t="shared" si="2"/>
        <v>23.566623154935236</v>
      </c>
      <c r="H15">
        <f t="shared" si="3"/>
        <v>2.1588512902901895</v>
      </c>
      <c r="J15">
        <v>15</v>
      </c>
      <c r="K15" t="s">
        <v>10</v>
      </c>
      <c r="L15">
        <v>3474</v>
      </c>
    </row>
    <row r="16" spans="1:12" x14ac:dyDescent="0.2">
      <c r="A16">
        <v>2017</v>
      </c>
      <c r="B16">
        <v>10752</v>
      </c>
      <c r="C16">
        <v>0.31148520836141003</v>
      </c>
      <c r="D16">
        <v>6.3373354508075894E-2</v>
      </c>
      <c r="E16">
        <f t="shared" si="0"/>
        <v>3349</v>
      </c>
      <c r="F16">
        <f t="shared" si="1"/>
        <v>212</v>
      </c>
      <c r="G16">
        <f t="shared" si="2"/>
        <v>31.147693452380953</v>
      </c>
      <c r="H16">
        <f t="shared" si="3"/>
        <v>1.9717261904761905</v>
      </c>
      <c r="J16">
        <v>16</v>
      </c>
      <c r="K16" t="s">
        <v>15</v>
      </c>
      <c r="L16">
        <v>3782</v>
      </c>
    </row>
    <row r="17" spans="1:12" x14ac:dyDescent="0.2">
      <c r="A17">
        <v>2018</v>
      </c>
      <c r="B17">
        <v>11419</v>
      </c>
      <c r="C17">
        <v>0.26364614693447902</v>
      </c>
      <c r="D17">
        <v>5.8796624699607503E-2</v>
      </c>
      <c r="E17">
        <f t="shared" si="0"/>
        <v>3010</v>
      </c>
      <c r="F17">
        <f t="shared" si="1"/>
        <v>177</v>
      </c>
      <c r="G17">
        <f t="shared" si="2"/>
        <v>26.359576145021457</v>
      </c>
      <c r="H17">
        <f t="shared" si="3"/>
        <v>1.550048165338471</v>
      </c>
      <c r="J17">
        <v>17</v>
      </c>
      <c r="K17" t="s">
        <v>12</v>
      </c>
      <c r="L17">
        <v>4267</v>
      </c>
    </row>
    <row r="18" spans="1:12" x14ac:dyDescent="0.2">
      <c r="A18">
        <v>2019</v>
      </c>
      <c r="B18">
        <v>12135</v>
      </c>
      <c r="C18">
        <v>0.23162135339807699</v>
      </c>
      <c r="D18">
        <v>5.9801783808507002E-2</v>
      </c>
      <c r="E18">
        <f t="shared" si="0"/>
        <v>2810</v>
      </c>
      <c r="F18">
        <f t="shared" si="1"/>
        <v>168</v>
      </c>
      <c r="G18">
        <f t="shared" si="2"/>
        <v>23.156159868149977</v>
      </c>
      <c r="H18">
        <f t="shared" si="3"/>
        <v>1.3844252163164401</v>
      </c>
      <c r="J18">
        <v>18</v>
      </c>
      <c r="K18" t="s">
        <v>16</v>
      </c>
      <c r="L18">
        <v>3189</v>
      </c>
    </row>
    <row r="19" spans="1:12" x14ac:dyDescent="0.2">
      <c r="A19">
        <v>2020</v>
      </c>
      <c r="B19">
        <v>3747</v>
      </c>
      <c r="C19">
        <v>0.117629655287601</v>
      </c>
      <c r="D19">
        <v>5.0979009445290997E-2</v>
      </c>
      <c r="E19">
        <f t="shared" si="0"/>
        <v>440</v>
      </c>
      <c r="F19">
        <f t="shared" si="1"/>
        <v>22</v>
      </c>
      <c r="G19">
        <f t="shared" si="2"/>
        <v>11.74272751534561</v>
      </c>
      <c r="H19">
        <f t="shared" si="3"/>
        <v>0.58713637576728051</v>
      </c>
      <c r="J19">
        <v>19</v>
      </c>
      <c r="K19" t="s">
        <v>14</v>
      </c>
      <c r="L19">
        <v>2501</v>
      </c>
    </row>
    <row r="20" spans="1:12" x14ac:dyDescent="0.2">
      <c r="A20">
        <v>2021</v>
      </c>
      <c r="B20">
        <v>7460</v>
      </c>
      <c r="C20">
        <v>0.27187854077201301</v>
      </c>
      <c r="D20">
        <v>7.6386369892861697E-2</v>
      </c>
      <c r="E20">
        <f t="shared" si="0"/>
        <v>2028</v>
      </c>
      <c r="F20">
        <f t="shared" si="1"/>
        <v>154</v>
      </c>
      <c r="G20">
        <f t="shared" si="2"/>
        <v>27.184986595174266</v>
      </c>
      <c r="H20">
        <f t="shared" si="3"/>
        <v>2.064343163538874</v>
      </c>
      <c r="J20">
        <v>20</v>
      </c>
      <c r="K20" t="s">
        <v>23</v>
      </c>
      <c r="L20">
        <v>3373</v>
      </c>
    </row>
    <row r="21" spans="1:12" x14ac:dyDescent="0.2">
      <c r="A21">
        <v>2022</v>
      </c>
      <c r="B21">
        <v>11173</v>
      </c>
      <c r="C21">
        <v>0.218662734166719</v>
      </c>
      <c r="D21">
        <v>5.9081478544976598E-2</v>
      </c>
      <c r="E21">
        <f t="shared" si="0"/>
        <v>2443</v>
      </c>
      <c r="F21">
        <f t="shared" si="1"/>
        <v>144</v>
      </c>
      <c r="G21">
        <f t="shared" si="2"/>
        <v>21.865210775977804</v>
      </c>
      <c r="H21">
        <f t="shared" si="3"/>
        <v>1.2888212655508815</v>
      </c>
      <c r="J21">
        <v>21</v>
      </c>
      <c r="K21" t="s">
        <v>20</v>
      </c>
      <c r="L21">
        <v>2939</v>
      </c>
    </row>
    <row r="22" spans="1:12" x14ac:dyDescent="0.2">
      <c r="A22">
        <v>2023</v>
      </c>
      <c r="B22">
        <v>12502</v>
      </c>
      <c r="C22">
        <v>0.138338972162455</v>
      </c>
      <c r="D22">
        <v>5.7386737351771397E-2</v>
      </c>
      <c r="E22">
        <f t="shared" si="0"/>
        <v>1729</v>
      </c>
      <c r="F22">
        <f t="shared" si="1"/>
        <v>99</v>
      </c>
      <c r="G22">
        <f t="shared" si="2"/>
        <v>13.829787234042554</v>
      </c>
      <c r="H22">
        <f t="shared" si="3"/>
        <v>0.79187330027195646</v>
      </c>
      <c r="J22">
        <v>22</v>
      </c>
      <c r="K22" t="s">
        <v>18</v>
      </c>
      <c r="L22">
        <v>1152</v>
      </c>
    </row>
    <row r="23" spans="1:12" x14ac:dyDescent="0.2">
      <c r="J23">
        <v>23</v>
      </c>
      <c r="K23" t="s">
        <v>22</v>
      </c>
      <c r="L23">
        <v>620</v>
      </c>
    </row>
    <row r="24" spans="1:12" x14ac:dyDescent="0.2">
      <c r="J24">
        <v>24</v>
      </c>
      <c r="K24" t="s">
        <v>19</v>
      </c>
      <c r="L24">
        <v>483</v>
      </c>
    </row>
    <row r="25" spans="1:12" x14ac:dyDescent="0.2">
      <c r="J25">
        <v>25</v>
      </c>
      <c r="K25" t="s">
        <v>17</v>
      </c>
      <c r="L25">
        <v>3011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G1" sqref="G1:H10485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24</v>
      </c>
      <c r="L1">
        <v>10835</v>
      </c>
    </row>
    <row r="2" spans="1:12" x14ac:dyDescent="0.2">
      <c r="A2">
        <v>2003</v>
      </c>
      <c r="B2">
        <v>1219</v>
      </c>
      <c r="C2">
        <v>0.172721003030892</v>
      </c>
      <c r="D2">
        <v>0.17822427726350701</v>
      </c>
      <c r="E2">
        <f>INT(B2*C2)</f>
        <v>210</v>
      </c>
      <c r="F2">
        <f>INT(B2*C2*D2)</f>
        <v>37</v>
      </c>
      <c r="G2">
        <f>E2/B2*100</f>
        <v>17.227235438884332</v>
      </c>
      <c r="H2">
        <f>F2/B2*100</f>
        <v>3.0352748154224773</v>
      </c>
      <c r="J2">
        <v>2</v>
      </c>
      <c r="K2" t="s">
        <v>26</v>
      </c>
      <c r="L2">
        <v>8826</v>
      </c>
    </row>
    <row r="3" spans="1:12" x14ac:dyDescent="0.2">
      <c r="A3">
        <v>2004</v>
      </c>
      <c r="B3">
        <v>1344</v>
      </c>
      <c r="C3">
        <v>0.23640819964930401</v>
      </c>
      <c r="D3">
        <v>0.199018560303375</v>
      </c>
      <c r="E3">
        <f t="shared" ref="E3:E22" si="0">INT(B3*C3)</f>
        <v>317</v>
      </c>
      <c r="F3">
        <f t="shared" ref="F3:F22" si="1">INT(B3*C3*D3)</f>
        <v>63</v>
      </c>
      <c r="G3">
        <f t="shared" ref="G3:G22" si="2">E3/B3*100</f>
        <v>23.586309523809522</v>
      </c>
      <c r="H3">
        <f t="shared" ref="H3:H22" si="3">F3/B3*100</f>
        <v>4.6875</v>
      </c>
      <c r="J3">
        <v>3</v>
      </c>
      <c r="K3" t="s">
        <v>30</v>
      </c>
      <c r="L3">
        <v>10339</v>
      </c>
    </row>
    <row r="4" spans="1:12" x14ac:dyDescent="0.2">
      <c r="A4">
        <v>2005</v>
      </c>
      <c r="B4">
        <v>1707</v>
      </c>
      <c r="C4">
        <v>0.24009617253905199</v>
      </c>
      <c r="D4">
        <v>0.20683972700499001</v>
      </c>
      <c r="E4">
        <f t="shared" si="0"/>
        <v>409</v>
      </c>
      <c r="F4">
        <f t="shared" si="1"/>
        <v>84</v>
      </c>
      <c r="G4">
        <f t="shared" si="2"/>
        <v>23.960164030462799</v>
      </c>
      <c r="H4">
        <f t="shared" si="3"/>
        <v>4.9209138840070299</v>
      </c>
      <c r="J4">
        <v>4</v>
      </c>
      <c r="K4" t="s">
        <v>29</v>
      </c>
      <c r="L4">
        <v>10739</v>
      </c>
    </row>
    <row r="5" spans="1:12" x14ac:dyDescent="0.2">
      <c r="A5">
        <v>2006</v>
      </c>
      <c r="B5">
        <v>1881</v>
      </c>
      <c r="C5">
        <v>0.156942628405523</v>
      </c>
      <c r="D5">
        <v>0.29608524236828099</v>
      </c>
      <c r="E5">
        <f t="shared" si="0"/>
        <v>295</v>
      </c>
      <c r="F5">
        <f t="shared" si="1"/>
        <v>87</v>
      </c>
      <c r="G5">
        <f t="shared" si="2"/>
        <v>15.683147262094629</v>
      </c>
      <c r="H5">
        <f t="shared" si="3"/>
        <v>4.6251993620414673</v>
      </c>
      <c r="J5">
        <v>5</v>
      </c>
      <c r="K5" t="s">
        <v>27</v>
      </c>
      <c r="L5">
        <v>8116</v>
      </c>
    </row>
    <row r="6" spans="1:12" x14ac:dyDescent="0.2">
      <c r="A6">
        <v>2007</v>
      </c>
      <c r="B6">
        <v>3405</v>
      </c>
      <c r="C6">
        <v>0.24433738560182999</v>
      </c>
      <c r="D6">
        <v>0.1233141109813</v>
      </c>
      <c r="E6">
        <f t="shared" si="0"/>
        <v>831</v>
      </c>
      <c r="F6">
        <f t="shared" si="1"/>
        <v>102</v>
      </c>
      <c r="G6">
        <f t="shared" si="2"/>
        <v>24.405286343612335</v>
      </c>
      <c r="H6">
        <f t="shared" si="3"/>
        <v>2.9955947136563874</v>
      </c>
      <c r="J6">
        <v>6</v>
      </c>
      <c r="K6" t="s">
        <v>25</v>
      </c>
      <c r="L6">
        <v>10743</v>
      </c>
    </row>
    <row r="7" spans="1:12" x14ac:dyDescent="0.2">
      <c r="A7">
        <v>2008</v>
      </c>
      <c r="B7">
        <v>4039</v>
      </c>
      <c r="C7">
        <v>0.229676656879019</v>
      </c>
      <c r="D7">
        <v>0.215924615506083</v>
      </c>
      <c r="E7">
        <f t="shared" si="0"/>
        <v>927</v>
      </c>
      <c r="F7">
        <f t="shared" si="1"/>
        <v>200</v>
      </c>
      <c r="G7">
        <f t="shared" si="2"/>
        <v>22.951225550878931</v>
      </c>
      <c r="H7">
        <f t="shared" si="3"/>
        <v>4.9517207229512259</v>
      </c>
      <c r="J7">
        <v>7</v>
      </c>
      <c r="K7" t="s">
        <v>4</v>
      </c>
      <c r="L7">
        <v>7062</v>
      </c>
    </row>
    <row r="8" spans="1:12" x14ac:dyDescent="0.2">
      <c r="A8">
        <v>2009</v>
      </c>
      <c r="B8">
        <v>3527</v>
      </c>
      <c r="C8">
        <v>0.16479266291717101</v>
      </c>
      <c r="D8">
        <v>0.14061716939322599</v>
      </c>
      <c r="E8">
        <f t="shared" si="0"/>
        <v>581</v>
      </c>
      <c r="F8">
        <f t="shared" si="1"/>
        <v>81</v>
      </c>
      <c r="G8">
        <f t="shared" si="2"/>
        <v>16.472923164162179</v>
      </c>
      <c r="H8">
        <f t="shared" si="3"/>
        <v>2.2965693223702863</v>
      </c>
      <c r="J8">
        <v>8</v>
      </c>
      <c r="K8" t="s">
        <v>5</v>
      </c>
      <c r="L8">
        <v>5936</v>
      </c>
    </row>
    <row r="9" spans="1:12" x14ac:dyDescent="0.2">
      <c r="A9">
        <v>2010</v>
      </c>
      <c r="B9">
        <v>4837</v>
      </c>
      <c r="C9">
        <v>0.13486702183727201</v>
      </c>
      <c r="D9">
        <v>0.26841302388347699</v>
      </c>
      <c r="E9">
        <f t="shared" si="0"/>
        <v>652</v>
      </c>
      <c r="F9">
        <f t="shared" si="1"/>
        <v>175</v>
      </c>
      <c r="G9">
        <f t="shared" si="2"/>
        <v>13.479429398387429</v>
      </c>
      <c r="H9">
        <f t="shared" si="3"/>
        <v>3.6179450072358899</v>
      </c>
      <c r="J9">
        <v>9</v>
      </c>
      <c r="K9" t="s">
        <v>7</v>
      </c>
      <c r="L9">
        <v>9396</v>
      </c>
    </row>
    <row r="10" spans="1:12" x14ac:dyDescent="0.2">
      <c r="A10">
        <v>2011</v>
      </c>
      <c r="B10">
        <v>4832</v>
      </c>
      <c r="C10">
        <v>0.208398707211018</v>
      </c>
      <c r="D10">
        <v>0.130189212365076</v>
      </c>
      <c r="E10">
        <f t="shared" si="0"/>
        <v>1006</v>
      </c>
      <c r="F10">
        <f t="shared" si="1"/>
        <v>131</v>
      </c>
      <c r="G10">
        <f t="shared" si="2"/>
        <v>20.819536423841058</v>
      </c>
      <c r="H10">
        <f t="shared" si="3"/>
        <v>2.7110927152317879</v>
      </c>
      <c r="J10">
        <v>10</v>
      </c>
      <c r="K10" t="s">
        <v>6</v>
      </c>
      <c r="L10">
        <v>8224</v>
      </c>
    </row>
    <row r="11" spans="1:12" x14ac:dyDescent="0.2">
      <c r="A11">
        <v>2012</v>
      </c>
      <c r="B11">
        <v>6147</v>
      </c>
      <c r="C11">
        <v>0.23295723600313101</v>
      </c>
      <c r="D11">
        <v>0.228697974653915</v>
      </c>
      <c r="E11">
        <f t="shared" si="0"/>
        <v>1431</v>
      </c>
      <c r="F11">
        <f t="shared" si="1"/>
        <v>327</v>
      </c>
      <c r="G11">
        <f t="shared" si="2"/>
        <v>23.279648609077601</v>
      </c>
      <c r="H11">
        <f t="shared" si="3"/>
        <v>5.3196681307955105</v>
      </c>
      <c r="J11">
        <v>11</v>
      </c>
      <c r="K11" t="s">
        <v>32</v>
      </c>
      <c r="L11">
        <v>7832</v>
      </c>
    </row>
    <row r="12" spans="1:12" x14ac:dyDescent="0.2">
      <c r="A12">
        <v>2013</v>
      </c>
      <c r="B12">
        <v>7117</v>
      </c>
      <c r="C12">
        <v>0.22783384707290699</v>
      </c>
      <c r="D12">
        <v>0.136726295109838</v>
      </c>
      <c r="E12">
        <f t="shared" si="0"/>
        <v>1621</v>
      </c>
      <c r="F12">
        <f t="shared" si="1"/>
        <v>221</v>
      </c>
      <c r="G12">
        <f t="shared" si="2"/>
        <v>22.776450751721232</v>
      </c>
      <c r="H12">
        <f t="shared" si="3"/>
        <v>3.1052409723197978</v>
      </c>
      <c r="J12">
        <v>12</v>
      </c>
      <c r="K12" t="s">
        <v>8</v>
      </c>
      <c r="L12">
        <v>7716</v>
      </c>
    </row>
    <row r="13" spans="1:12" x14ac:dyDescent="0.2">
      <c r="A13">
        <v>2014</v>
      </c>
      <c r="B13">
        <v>7285</v>
      </c>
      <c r="C13">
        <v>0.192374003783334</v>
      </c>
      <c r="D13">
        <v>0.21187374750152199</v>
      </c>
      <c r="E13">
        <f t="shared" si="0"/>
        <v>1401</v>
      </c>
      <c r="F13">
        <f t="shared" si="1"/>
        <v>296</v>
      </c>
      <c r="G13">
        <f t="shared" si="2"/>
        <v>19.231297185998628</v>
      </c>
      <c r="H13">
        <f t="shared" si="3"/>
        <v>4.0631434454358271</v>
      </c>
      <c r="J13">
        <v>13</v>
      </c>
      <c r="K13" t="s">
        <v>16</v>
      </c>
      <c r="L13">
        <v>2014</v>
      </c>
    </row>
    <row r="14" spans="1:12" x14ac:dyDescent="0.2">
      <c r="A14">
        <v>2015</v>
      </c>
      <c r="B14">
        <v>7028</v>
      </c>
      <c r="C14">
        <v>0.22067850225139399</v>
      </c>
      <c r="D14">
        <v>0.19111304366961099</v>
      </c>
      <c r="E14">
        <f t="shared" si="0"/>
        <v>1550</v>
      </c>
      <c r="F14">
        <f t="shared" si="1"/>
        <v>296</v>
      </c>
      <c r="G14">
        <f t="shared" si="2"/>
        <v>22.054638588503131</v>
      </c>
      <c r="H14">
        <f t="shared" si="3"/>
        <v>4.2117245304496302</v>
      </c>
      <c r="J14">
        <v>14</v>
      </c>
      <c r="K14" t="s">
        <v>10</v>
      </c>
      <c r="L14">
        <v>3377</v>
      </c>
    </row>
    <row r="15" spans="1:12" x14ac:dyDescent="0.2">
      <c r="A15">
        <v>2016</v>
      </c>
      <c r="B15">
        <v>7848</v>
      </c>
      <c r="C15">
        <v>0.18837327451910801</v>
      </c>
      <c r="D15">
        <v>0.17711435290984801</v>
      </c>
      <c r="E15">
        <f t="shared" si="0"/>
        <v>1478</v>
      </c>
      <c r="F15">
        <f t="shared" si="1"/>
        <v>261</v>
      </c>
      <c r="G15">
        <f t="shared" si="2"/>
        <v>18.83282364933741</v>
      </c>
      <c r="H15">
        <f t="shared" si="3"/>
        <v>3.3256880733944958</v>
      </c>
      <c r="J15">
        <v>15</v>
      </c>
      <c r="K15" t="s">
        <v>11</v>
      </c>
      <c r="L15">
        <v>4915</v>
      </c>
    </row>
    <row r="16" spans="1:12" x14ac:dyDescent="0.2">
      <c r="A16">
        <v>2017</v>
      </c>
      <c r="B16">
        <v>8851</v>
      </c>
      <c r="C16">
        <v>0.172287076327484</v>
      </c>
      <c r="D16">
        <v>0.23524701045826099</v>
      </c>
      <c r="E16">
        <f t="shared" si="0"/>
        <v>1524</v>
      </c>
      <c r="F16">
        <f t="shared" si="1"/>
        <v>358</v>
      </c>
      <c r="G16">
        <f t="shared" si="2"/>
        <v>17.218393401875495</v>
      </c>
      <c r="H16">
        <f t="shared" si="3"/>
        <v>4.0447407072647152</v>
      </c>
      <c r="J16">
        <v>16</v>
      </c>
      <c r="K16" t="s">
        <v>14</v>
      </c>
      <c r="L16">
        <v>2047</v>
      </c>
    </row>
    <row r="17" spans="1:12" x14ac:dyDescent="0.2">
      <c r="A17">
        <v>2018</v>
      </c>
      <c r="B17">
        <v>8963</v>
      </c>
      <c r="C17">
        <v>0.12139361674198899</v>
      </c>
      <c r="D17">
        <v>0.177414074912667</v>
      </c>
      <c r="E17">
        <f t="shared" si="0"/>
        <v>1088</v>
      </c>
      <c r="F17">
        <f t="shared" si="1"/>
        <v>193</v>
      </c>
      <c r="G17">
        <f t="shared" si="2"/>
        <v>12.138792814905724</v>
      </c>
      <c r="H17">
        <f t="shared" si="3"/>
        <v>2.1532968872029454</v>
      </c>
      <c r="J17">
        <v>17</v>
      </c>
      <c r="K17" t="s">
        <v>12</v>
      </c>
      <c r="L17">
        <v>4519</v>
      </c>
    </row>
    <row r="18" spans="1:12" x14ac:dyDescent="0.2">
      <c r="A18">
        <v>2019</v>
      </c>
      <c r="B18">
        <v>10394</v>
      </c>
      <c r="C18">
        <v>0.12313621237408399</v>
      </c>
      <c r="D18">
        <v>0.25631318916566698</v>
      </c>
      <c r="E18">
        <f t="shared" si="0"/>
        <v>1279</v>
      </c>
      <c r="F18">
        <f t="shared" si="1"/>
        <v>328</v>
      </c>
      <c r="G18">
        <f t="shared" si="2"/>
        <v>12.305176063113334</v>
      </c>
      <c r="H18">
        <f t="shared" si="3"/>
        <v>3.1556667308062343</v>
      </c>
      <c r="J18">
        <v>18</v>
      </c>
      <c r="K18" t="s">
        <v>13</v>
      </c>
      <c r="L18">
        <v>4134</v>
      </c>
    </row>
    <row r="19" spans="1:12" x14ac:dyDescent="0.2">
      <c r="A19">
        <v>2020</v>
      </c>
      <c r="B19">
        <v>10362</v>
      </c>
      <c r="C19">
        <v>0.224159148137551</v>
      </c>
      <c r="D19">
        <v>0.147083186591044</v>
      </c>
      <c r="E19">
        <f t="shared" si="0"/>
        <v>2322</v>
      </c>
      <c r="F19">
        <f t="shared" si="1"/>
        <v>341</v>
      </c>
      <c r="G19">
        <f t="shared" si="2"/>
        <v>22.40880138969311</v>
      </c>
      <c r="H19">
        <f t="shared" si="3"/>
        <v>3.2908704883227178</v>
      </c>
      <c r="J19">
        <v>19</v>
      </c>
      <c r="K19" t="s">
        <v>19</v>
      </c>
      <c r="L19">
        <v>3000</v>
      </c>
    </row>
    <row r="20" spans="1:12" x14ac:dyDescent="0.2">
      <c r="A20">
        <v>2021</v>
      </c>
      <c r="B20">
        <v>11057</v>
      </c>
      <c r="C20">
        <v>0.173890159721486</v>
      </c>
      <c r="D20">
        <v>0.211238001054153</v>
      </c>
      <c r="E20">
        <f t="shared" si="0"/>
        <v>1922</v>
      </c>
      <c r="F20">
        <f t="shared" si="1"/>
        <v>406</v>
      </c>
      <c r="G20">
        <f t="shared" si="2"/>
        <v>17.382653522655332</v>
      </c>
      <c r="H20">
        <f t="shared" si="3"/>
        <v>3.6718820656597631</v>
      </c>
      <c r="J20">
        <v>20</v>
      </c>
      <c r="K20" t="s">
        <v>22</v>
      </c>
      <c r="L20">
        <v>1749</v>
      </c>
    </row>
    <row r="21" spans="1:12" x14ac:dyDescent="0.2">
      <c r="A21">
        <v>2022</v>
      </c>
      <c r="B21">
        <v>11752</v>
      </c>
      <c r="C21">
        <v>0.171155508921947</v>
      </c>
      <c r="D21">
        <v>0.24250708655454201</v>
      </c>
      <c r="E21">
        <f t="shared" si="0"/>
        <v>2011</v>
      </c>
      <c r="F21">
        <f t="shared" si="1"/>
        <v>487</v>
      </c>
      <c r="G21">
        <f t="shared" si="2"/>
        <v>17.111980939414568</v>
      </c>
      <c r="H21">
        <f t="shared" si="3"/>
        <v>4.1439754935330155</v>
      </c>
      <c r="J21">
        <v>21</v>
      </c>
      <c r="K21" t="s">
        <v>23</v>
      </c>
      <c r="L21">
        <v>819</v>
      </c>
    </row>
    <row r="22" spans="1:12" x14ac:dyDescent="0.2">
      <c r="A22">
        <v>2023</v>
      </c>
      <c r="B22">
        <v>13249</v>
      </c>
      <c r="C22">
        <v>0.113931850902736</v>
      </c>
      <c r="D22">
        <v>0.15245018471032401</v>
      </c>
      <c r="E22">
        <f t="shared" si="0"/>
        <v>1509</v>
      </c>
      <c r="F22">
        <f t="shared" si="1"/>
        <v>230</v>
      </c>
      <c r="G22">
        <f t="shared" si="2"/>
        <v>11.389538833119481</v>
      </c>
      <c r="H22">
        <f t="shared" si="3"/>
        <v>1.7359800739678466</v>
      </c>
      <c r="J22">
        <v>22</v>
      </c>
      <c r="K22" t="s">
        <v>20</v>
      </c>
      <c r="L22">
        <v>1332</v>
      </c>
    </row>
    <row r="23" spans="1:12" x14ac:dyDescent="0.2">
      <c r="J23">
        <v>23</v>
      </c>
      <c r="K23" t="s">
        <v>21</v>
      </c>
      <c r="L23">
        <v>1773</v>
      </c>
    </row>
    <row r="24" spans="1:12" x14ac:dyDescent="0.2">
      <c r="J24">
        <v>24</v>
      </c>
      <c r="K24" t="s">
        <v>17</v>
      </c>
      <c r="L24">
        <v>1401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>
      <selection activeCell="H1" sqref="H1:H10485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28</v>
      </c>
      <c r="L1">
        <v>7542</v>
      </c>
    </row>
    <row r="2" spans="1:12" x14ac:dyDescent="0.2">
      <c r="A2">
        <v>2003</v>
      </c>
      <c r="B2">
        <v>324</v>
      </c>
      <c r="C2">
        <v>0.16063179721823001</v>
      </c>
      <c r="D2">
        <v>0.20616374700330201</v>
      </c>
      <c r="E2">
        <f>INT(B2*C2)</f>
        <v>52</v>
      </c>
      <c r="F2">
        <f>INT(B2*C2*D2)</f>
        <v>10</v>
      </c>
      <c r="G2">
        <f>E2/B2*100</f>
        <v>16.049382716049383</v>
      </c>
      <c r="H2">
        <f>F2/B2*100</f>
        <v>3.0864197530864197</v>
      </c>
      <c r="J2">
        <v>2</v>
      </c>
      <c r="K2" t="s">
        <v>27</v>
      </c>
      <c r="L2">
        <v>9732</v>
      </c>
    </row>
    <row r="3" spans="1:12" x14ac:dyDescent="0.2">
      <c r="A3">
        <v>2004</v>
      </c>
      <c r="B3">
        <v>519</v>
      </c>
      <c r="C3">
        <v>0.13623107215389599</v>
      </c>
      <c r="D3">
        <v>0.23025812353007499</v>
      </c>
      <c r="E3">
        <f t="shared" ref="E3:E22" si="0">INT(B3*C3)</f>
        <v>70</v>
      </c>
      <c r="F3">
        <f t="shared" ref="F3:F22" si="1">INT(B3*C3*D3)</f>
        <v>16</v>
      </c>
      <c r="G3">
        <f t="shared" ref="G3:G22" si="2">E3/B3*100</f>
        <v>13.48747591522158</v>
      </c>
      <c r="H3">
        <f t="shared" ref="H3:H22" si="3">F3/B3*100</f>
        <v>3.0828516377649327</v>
      </c>
      <c r="J3">
        <v>3</v>
      </c>
      <c r="K3" t="s">
        <v>30</v>
      </c>
      <c r="L3">
        <v>5623</v>
      </c>
    </row>
    <row r="4" spans="1:12" x14ac:dyDescent="0.2">
      <c r="A4">
        <v>2005</v>
      </c>
      <c r="B4">
        <v>1171</v>
      </c>
      <c r="C4">
        <v>0.140931495570112</v>
      </c>
      <c r="D4">
        <v>0.20720521179027901</v>
      </c>
      <c r="E4">
        <f t="shared" si="0"/>
        <v>165</v>
      </c>
      <c r="F4">
        <f t="shared" si="1"/>
        <v>34</v>
      </c>
      <c r="G4">
        <f t="shared" si="2"/>
        <v>14.090520922288643</v>
      </c>
      <c r="H4">
        <f t="shared" si="3"/>
        <v>2.9035012809564473</v>
      </c>
      <c r="J4">
        <v>4</v>
      </c>
      <c r="K4" t="s">
        <v>25</v>
      </c>
      <c r="L4">
        <v>5568</v>
      </c>
    </row>
    <row r="5" spans="1:12" x14ac:dyDescent="0.2">
      <c r="A5">
        <v>2006</v>
      </c>
      <c r="B5">
        <v>1590</v>
      </c>
      <c r="C5">
        <v>0.162713720754255</v>
      </c>
      <c r="D5">
        <v>0.19582424443215099</v>
      </c>
      <c r="E5">
        <f t="shared" si="0"/>
        <v>258</v>
      </c>
      <c r="F5">
        <f t="shared" si="1"/>
        <v>50</v>
      </c>
      <c r="G5">
        <f t="shared" si="2"/>
        <v>16.226415094339622</v>
      </c>
      <c r="H5">
        <f t="shared" si="3"/>
        <v>3.1446540880503147</v>
      </c>
      <c r="J5">
        <v>5</v>
      </c>
      <c r="K5" t="s">
        <v>31</v>
      </c>
      <c r="L5">
        <v>6434</v>
      </c>
    </row>
    <row r="6" spans="1:12" x14ac:dyDescent="0.2">
      <c r="A6">
        <v>2007</v>
      </c>
      <c r="B6">
        <v>1744</v>
      </c>
      <c r="C6">
        <v>0.18826461397111399</v>
      </c>
      <c r="D6">
        <v>0.17151962905190901</v>
      </c>
      <c r="E6">
        <f t="shared" si="0"/>
        <v>328</v>
      </c>
      <c r="F6">
        <f t="shared" si="1"/>
        <v>56</v>
      </c>
      <c r="G6">
        <f t="shared" si="2"/>
        <v>18.807339449541285</v>
      </c>
      <c r="H6">
        <f t="shared" si="3"/>
        <v>3.2110091743119269</v>
      </c>
      <c r="J6">
        <v>6</v>
      </c>
      <c r="K6" t="s">
        <v>29</v>
      </c>
      <c r="L6">
        <v>6553</v>
      </c>
    </row>
    <row r="7" spans="1:12" x14ac:dyDescent="0.2">
      <c r="A7">
        <v>2008</v>
      </c>
      <c r="B7">
        <v>2327</v>
      </c>
      <c r="C7">
        <v>0.167265142023098</v>
      </c>
      <c r="D7">
        <v>0.12440679282881301</v>
      </c>
      <c r="E7">
        <f t="shared" si="0"/>
        <v>389</v>
      </c>
      <c r="F7">
        <f t="shared" si="1"/>
        <v>48</v>
      </c>
      <c r="G7">
        <f t="shared" si="2"/>
        <v>16.716802750322305</v>
      </c>
      <c r="H7">
        <f t="shared" si="3"/>
        <v>2.0627417275461966</v>
      </c>
      <c r="J7">
        <v>7</v>
      </c>
      <c r="K7" t="s">
        <v>8</v>
      </c>
      <c r="L7">
        <v>5475</v>
      </c>
    </row>
    <row r="8" spans="1:12" x14ac:dyDescent="0.2">
      <c r="A8">
        <v>2009</v>
      </c>
      <c r="B8">
        <v>2785</v>
      </c>
      <c r="C8">
        <v>0.14860477437032399</v>
      </c>
      <c r="D8">
        <v>0.11349465707317</v>
      </c>
      <c r="E8">
        <f t="shared" si="0"/>
        <v>413</v>
      </c>
      <c r="F8">
        <f t="shared" si="1"/>
        <v>46</v>
      </c>
      <c r="G8">
        <f t="shared" si="2"/>
        <v>14.829443447037702</v>
      </c>
      <c r="H8">
        <f t="shared" si="3"/>
        <v>1.6517055655296229</v>
      </c>
      <c r="J8">
        <v>8</v>
      </c>
      <c r="K8" t="s">
        <v>9</v>
      </c>
      <c r="L8">
        <v>4091</v>
      </c>
    </row>
    <row r="9" spans="1:12" x14ac:dyDescent="0.2">
      <c r="A9">
        <v>2010</v>
      </c>
      <c r="B9">
        <v>3324</v>
      </c>
      <c r="C9">
        <v>0.12194403351750201</v>
      </c>
      <c r="D9">
        <v>0.18044698182493399</v>
      </c>
      <c r="E9">
        <f t="shared" si="0"/>
        <v>405</v>
      </c>
      <c r="F9">
        <f t="shared" si="1"/>
        <v>73</v>
      </c>
      <c r="G9">
        <f t="shared" si="2"/>
        <v>12.184115523465703</v>
      </c>
      <c r="H9">
        <f t="shared" si="3"/>
        <v>2.1961492178098676</v>
      </c>
      <c r="J9">
        <v>9</v>
      </c>
      <c r="K9" t="s">
        <v>4</v>
      </c>
      <c r="L9">
        <v>5962</v>
      </c>
    </row>
    <row r="10" spans="1:12" x14ac:dyDescent="0.2">
      <c r="A10">
        <v>2011</v>
      </c>
      <c r="B10">
        <v>3854</v>
      </c>
      <c r="C10">
        <v>7.3582042648922694E-2</v>
      </c>
      <c r="D10">
        <v>0.19582405406981701</v>
      </c>
      <c r="E10">
        <f t="shared" si="0"/>
        <v>283</v>
      </c>
      <c r="F10">
        <f t="shared" si="1"/>
        <v>55</v>
      </c>
      <c r="G10">
        <f t="shared" si="2"/>
        <v>7.3430202387130254</v>
      </c>
      <c r="H10">
        <f t="shared" si="3"/>
        <v>1.4270887389724962</v>
      </c>
      <c r="J10">
        <v>10</v>
      </c>
      <c r="K10" t="s">
        <v>6</v>
      </c>
      <c r="L10">
        <v>6518</v>
      </c>
    </row>
    <row r="11" spans="1:12" x14ac:dyDescent="0.2">
      <c r="A11">
        <v>2012</v>
      </c>
      <c r="B11">
        <v>3994</v>
      </c>
      <c r="C11">
        <v>7.4038671911694096E-2</v>
      </c>
      <c r="D11">
        <v>0.225035127904266</v>
      </c>
      <c r="E11">
        <f t="shared" si="0"/>
        <v>295</v>
      </c>
      <c r="F11">
        <f t="shared" si="1"/>
        <v>66</v>
      </c>
      <c r="G11">
        <f t="shared" si="2"/>
        <v>7.3860791186780173</v>
      </c>
      <c r="H11">
        <f t="shared" si="3"/>
        <v>1.6524787180771157</v>
      </c>
      <c r="J11">
        <v>11</v>
      </c>
      <c r="K11" t="s">
        <v>32</v>
      </c>
      <c r="L11">
        <v>7647</v>
      </c>
    </row>
    <row r="12" spans="1:12" x14ac:dyDescent="0.2">
      <c r="A12">
        <v>2013</v>
      </c>
      <c r="B12">
        <v>4444</v>
      </c>
      <c r="C12">
        <v>0.10467137783998599</v>
      </c>
      <c r="D12">
        <v>0.16021075756289099</v>
      </c>
      <c r="E12">
        <f t="shared" si="0"/>
        <v>465</v>
      </c>
      <c r="F12">
        <f t="shared" si="1"/>
        <v>74</v>
      </c>
      <c r="G12">
        <f t="shared" si="2"/>
        <v>10.463546354635463</v>
      </c>
      <c r="H12">
        <f t="shared" si="3"/>
        <v>1.6651665166516652</v>
      </c>
      <c r="J12">
        <v>12</v>
      </c>
      <c r="K12" t="s">
        <v>10</v>
      </c>
      <c r="L12">
        <v>2399</v>
      </c>
    </row>
    <row r="13" spans="1:12" x14ac:dyDescent="0.2">
      <c r="A13">
        <v>2014</v>
      </c>
      <c r="B13">
        <v>5076</v>
      </c>
      <c r="C13">
        <v>9.2701952555216793E-2</v>
      </c>
      <c r="D13">
        <v>0.26393092805519702</v>
      </c>
      <c r="E13">
        <f t="shared" si="0"/>
        <v>470</v>
      </c>
      <c r="F13">
        <f t="shared" si="1"/>
        <v>124</v>
      </c>
      <c r="G13">
        <f t="shared" si="2"/>
        <v>9.2592592592592595</v>
      </c>
      <c r="H13">
        <f t="shared" si="3"/>
        <v>2.4428684003152088</v>
      </c>
      <c r="J13">
        <v>13</v>
      </c>
      <c r="K13" t="s">
        <v>13</v>
      </c>
      <c r="L13">
        <v>2604</v>
      </c>
    </row>
    <row r="14" spans="1:12" x14ac:dyDescent="0.2">
      <c r="A14">
        <v>2015</v>
      </c>
      <c r="B14">
        <v>5310</v>
      </c>
      <c r="C14">
        <v>8.5796017618849904E-2</v>
      </c>
      <c r="D14">
        <v>0.22983818319626201</v>
      </c>
      <c r="E14">
        <f t="shared" si="0"/>
        <v>455</v>
      </c>
      <c r="F14">
        <f t="shared" si="1"/>
        <v>104</v>
      </c>
      <c r="G14">
        <f t="shared" si="2"/>
        <v>8.56873822975518</v>
      </c>
      <c r="H14">
        <f t="shared" si="3"/>
        <v>1.9585687382297552</v>
      </c>
      <c r="J14">
        <v>14</v>
      </c>
      <c r="K14" t="s">
        <v>16</v>
      </c>
      <c r="L14">
        <v>2779</v>
      </c>
    </row>
    <row r="15" spans="1:12" x14ac:dyDescent="0.2">
      <c r="A15">
        <v>2016</v>
      </c>
      <c r="B15">
        <v>5818</v>
      </c>
      <c r="C15">
        <v>7.2991312947124201E-2</v>
      </c>
      <c r="D15">
        <v>0.130626560840756</v>
      </c>
      <c r="E15">
        <f t="shared" si="0"/>
        <v>424</v>
      </c>
      <c r="F15">
        <f t="shared" si="1"/>
        <v>55</v>
      </c>
      <c r="G15">
        <f t="shared" si="2"/>
        <v>7.2877277414919215</v>
      </c>
      <c r="H15">
        <f t="shared" si="3"/>
        <v>0.94534204193881066</v>
      </c>
      <c r="J15">
        <v>15</v>
      </c>
      <c r="K15" t="s">
        <v>14</v>
      </c>
      <c r="L15">
        <v>2316</v>
      </c>
    </row>
    <row r="16" spans="1:12" x14ac:dyDescent="0.2">
      <c r="A16">
        <v>2017</v>
      </c>
      <c r="B16">
        <v>6352</v>
      </c>
      <c r="C16">
        <v>8.1520264921709898E-2</v>
      </c>
      <c r="D16">
        <v>0.229783094068989</v>
      </c>
      <c r="E16">
        <f t="shared" si="0"/>
        <v>517</v>
      </c>
      <c r="F16">
        <f t="shared" si="1"/>
        <v>118</v>
      </c>
      <c r="G16">
        <f t="shared" si="2"/>
        <v>8.1391687657430722</v>
      </c>
      <c r="H16">
        <f t="shared" si="3"/>
        <v>1.857682619647355</v>
      </c>
      <c r="J16">
        <v>16</v>
      </c>
      <c r="K16" t="s">
        <v>20</v>
      </c>
      <c r="L16">
        <v>1108</v>
      </c>
    </row>
    <row r="17" spans="1:12" x14ac:dyDescent="0.2">
      <c r="A17">
        <v>2018</v>
      </c>
      <c r="B17">
        <v>6337</v>
      </c>
      <c r="C17">
        <v>0.12377310750307501</v>
      </c>
      <c r="D17">
        <v>0.14375970442779401</v>
      </c>
      <c r="E17">
        <f t="shared" si="0"/>
        <v>784</v>
      </c>
      <c r="F17">
        <f t="shared" si="1"/>
        <v>112</v>
      </c>
      <c r="G17">
        <f t="shared" si="2"/>
        <v>12.371784756193783</v>
      </c>
      <c r="H17">
        <f t="shared" si="3"/>
        <v>1.7673978223133977</v>
      </c>
      <c r="J17">
        <v>17</v>
      </c>
      <c r="K17" t="s">
        <v>19</v>
      </c>
      <c r="L17">
        <v>1897</v>
      </c>
    </row>
    <row r="18" spans="1:12" x14ac:dyDescent="0.2">
      <c r="A18">
        <v>2019</v>
      </c>
      <c r="B18">
        <v>6305</v>
      </c>
      <c r="C18">
        <v>0.13225401140516599</v>
      </c>
      <c r="D18">
        <v>0.13757725483737901</v>
      </c>
      <c r="E18">
        <f t="shared" si="0"/>
        <v>833</v>
      </c>
      <c r="F18">
        <f t="shared" si="1"/>
        <v>114</v>
      </c>
      <c r="G18">
        <f t="shared" si="2"/>
        <v>13.211736716891357</v>
      </c>
      <c r="H18">
        <f t="shared" si="3"/>
        <v>1.808088818398097</v>
      </c>
      <c r="J18">
        <v>18</v>
      </c>
      <c r="K18" t="s">
        <v>23</v>
      </c>
      <c r="L18">
        <v>1417</v>
      </c>
    </row>
    <row r="19" spans="1:12" x14ac:dyDescent="0.2">
      <c r="A19">
        <v>2020</v>
      </c>
      <c r="B19">
        <v>6273</v>
      </c>
      <c r="C19">
        <v>0.12539175740676001</v>
      </c>
      <c r="D19">
        <v>0.15497248927131299</v>
      </c>
      <c r="E19">
        <f t="shared" si="0"/>
        <v>786</v>
      </c>
      <c r="F19">
        <f t="shared" si="1"/>
        <v>121</v>
      </c>
      <c r="G19">
        <f t="shared" si="2"/>
        <v>12.529890004782402</v>
      </c>
      <c r="H19">
        <f t="shared" si="3"/>
        <v>1.9289016419575959</v>
      </c>
      <c r="J19">
        <v>19</v>
      </c>
      <c r="K19" t="s">
        <v>22</v>
      </c>
      <c r="L19">
        <v>504</v>
      </c>
    </row>
    <row r="20" spans="1:12" x14ac:dyDescent="0.2">
      <c r="A20">
        <v>2021</v>
      </c>
      <c r="B20">
        <v>6241</v>
      </c>
      <c r="C20">
        <v>0.11340022133663299</v>
      </c>
      <c r="D20">
        <v>0.10641798642464</v>
      </c>
      <c r="E20">
        <f t="shared" si="0"/>
        <v>707</v>
      </c>
      <c r="F20">
        <f t="shared" si="1"/>
        <v>75</v>
      </c>
      <c r="G20">
        <f t="shared" si="2"/>
        <v>11.328312770389362</v>
      </c>
      <c r="H20">
        <f t="shared" si="3"/>
        <v>1.201730491908348</v>
      </c>
      <c r="J20">
        <v>20</v>
      </c>
      <c r="K20" t="s">
        <v>18</v>
      </c>
      <c r="L20">
        <v>601</v>
      </c>
    </row>
    <row r="21" spans="1:12" x14ac:dyDescent="0.2">
      <c r="A21">
        <v>2022</v>
      </c>
      <c r="B21">
        <v>6210</v>
      </c>
      <c r="C21">
        <v>0.118887175782584</v>
      </c>
      <c r="D21">
        <v>0.17674803747795501</v>
      </c>
      <c r="E21">
        <f t="shared" si="0"/>
        <v>738</v>
      </c>
      <c r="F21">
        <f t="shared" si="1"/>
        <v>130</v>
      </c>
      <c r="G21">
        <f t="shared" si="2"/>
        <v>11.884057971014492</v>
      </c>
      <c r="H21">
        <f t="shared" si="3"/>
        <v>2.0933977455716586</v>
      </c>
    </row>
    <row r="22" spans="1:12" x14ac:dyDescent="0.2">
      <c r="A22">
        <v>2023</v>
      </c>
      <c r="B22">
        <v>6772</v>
      </c>
      <c r="C22">
        <v>3.9932579384185402E-2</v>
      </c>
      <c r="D22">
        <v>0.23953023562207801</v>
      </c>
      <c r="E22">
        <f t="shared" si="0"/>
        <v>270</v>
      </c>
      <c r="F22">
        <f t="shared" si="1"/>
        <v>64</v>
      </c>
      <c r="G22">
        <f t="shared" si="2"/>
        <v>3.9870053160070884</v>
      </c>
      <c r="H22">
        <f t="shared" si="3"/>
        <v>0.94506792675723572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tabSelected="1" workbookViewId="0">
      <selection activeCell="H1" sqref="H1:H10485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35</v>
      </c>
      <c r="G1" t="s">
        <v>2</v>
      </c>
      <c r="H1" t="s">
        <v>34</v>
      </c>
      <c r="J1">
        <v>1</v>
      </c>
      <c r="K1" t="s">
        <v>29</v>
      </c>
      <c r="L1">
        <v>5471</v>
      </c>
    </row>
    <row r="2" spans="1:12" x14ac:dyDescent="0.2">
      <c r="A2">
        <v>2003</v>
      </c>
      <c r="B2">
        <v>254</v>
      </c>
      <c r="C2">
        <v>0.30098402120638601</v>
      </c>
      <c r="D2">
        <v>0.206772527750581</v>
      </c>
      <c r="E2">
        <f>INT(B2*C2)</f>
        <v>76</v>
      </c>
      <c r="F2">
        <f>INT(B2*C2*D2)</f>
        <v>15</v>
      </c>
      <c r="G2">
        <f>E2/B2*100</f>
        <v>29.921259842519689</v>
      </c>
      <c r="H2">
        <f>F2/B2*100</f>
        <v>5.9055118110236222</v>
      </c>
      <c r="J2">
        <v>2</v>
      </c>
      <c r="K2" t="s">
        <v>28</v>
      </c>
      <c r="L2">
        <v>5053</v>
      </c>
    </row>
    <row r="3" spans="1:12" x14ac:dyDescent="0.2">
      <c r="A3">
        <v>2004</v>
      </c>
      <c r="B3">
        <v>372</v>
      </c>
      <c r="C3">
        <v>0.356617019516416</v>
      </c>
      <c r="D3">
        <v>0.142159093124792</v>
      </c>
      <c r="E3">
        <f t="shared" ref="E3:E22" si="0">INT(B3*C3)</f>
        <v>132</v>
      </c>
      <c r="F3">
        <f t="shared" ref="F3:F22" si="1">INT(B3*C3*D3)</f>
        <v>18</v>
      </c>
      <c r="G3">
        <f t="shared" ref="G3:G22" si="2">E3/B3*100</f>
        <v>35.483870967741936</v>
      </c>
      <c r="H3">
        <f t="shared" ref="H3:H22" si="3">F3/B3*100</f>
        <v>4.838709677419355</v>
      </c>
      <c r="J3">
        <v>3</v>
      </c>
      <c r="K3" t="s">
        <v>27</v>
      </c>
      <c r="L3">
        <v>5597</v>
      </c>
    </row>
    <row r="4" spans="1:12" x14ac:dyDescent="0.2">
      <c r="A4">
        <v>2005</v>
      </c>
      <c r="B4">
        <v>661</v>
      </c>
      <c r="C4">
        <v>0.34846367922145899</v>
      </c>
      <c r="D4">
        <v>0.168436265829951</v>
      </c>
      <c r="E4">
        <f t="shared" si="0"/>
        <v>230</v>
      </c>
      <c r="F4">
        <f t="shared" si="1"/>
        <v>38</v>
      </c>
      <c r="G4">
        <f t="shared" si="2"/>
        <v>34.795763993948562</v>
      </c>
      <c r="H4">
        <f t="shared" si="3"/>
        <v>5.7488653555219367</v>
      </c>
      <c r="J4">
        <v>4</v>
      </c>
      <c r="K4" t="s">
        <v>24</v>
      </c>
      <c r="L4">
        <v>4314</v>
      </c>
    </row>
    <row r="5" spans="1:12" x14ac:dyDescent="0.2">
      <c r="A5">
        <v>2006</v>
      </c>
      <c r="B5">
        <v>950</v>
      </c>
      <c r="C5">
        <v>0.35333083695732098</v>
      </c>
      <c r="D5">
        <v>0.29276024615392099</v>
      </c>
      <c r="E5">
        <f t="shared" si="0"/>
        <v>335</v>
      </c>
      <c r="F5">
        <f t="shared" si="1"/>
        <v>98</v>
      </c>
      <c r="G5">
        <f t="shared" si="2"/>
        <v>35.263157894736842</v>
      </c>
      <c r="H5">
        <f t="shared" si="3"/>
        <v>10.315789473684211</v>
      </c>
      <c r="J5">
        <v>5</v>
      </c>
      <c r="K5" t="s">
        <v>31</v>
      </c>
      <c r="L5">
        <v>5134</v>
      </c>
    </row>
    <row r="6" spans="1:12" x14ac:dyDescent="0.2">
      <c r="A6">
        <v>2007</v>
      </c>
      <c r="B6">
        <v>1361</v>
      </c>
      <c r="C6">
        <v>0.28728328916476997</v>
      </c>
      <c r="D6">
        <v>0.16346559347584799</v>
      </c>
      <c r="E6">
        <f t="shared" si="0"/>
        <v>390</v>
      </c>
      <c r="F6">
        <f t="shared" si="1"/>
        <v>63</v>
      </c>
      <c r="G6">
        <f t="shared" si="2"/>
        <v>28.655400440852315</v>
      </c>
      <c r="H6">
        <f t="shared" si="3"/>
        <v>4.6289493019838357</v>
      </c>
      <c r="J6">
        <v>6</v>
      </c>
      <c r="K6" t="s">
        <v>25</v>
      </c>
      <c r="L6">
        <v>5408</v>
      </c>
    </row>
    <row r="7" spans="1:12" x14ac:dyDescent="0.2">
      <c r="A7">
        <v>2008</v>
      </c>
      <c r="B7">
        <v>1651</v>
      </c>
      <c r="C7">
        <v>0.30333145170006898</v>
      </c>
      <c r="D7">
        <v>0.103022571513429</v>
      </c>
      <c r="E7">
        <f t="shared" si="0"/>
        <v>500</v>
      </c>
      <c r="F7">
        <f t="shared" si="1"/>
        <v>51</v>
      </c>
      <c r="G7">
        <f t="shared" si="2"/>
        <v>30.284675953967295</v>
      </c>
      <c r="H7">
        <f t="shared" si="3"/>
        <v>3.0890369473046637</v>
      </c>
      <c r="J7">
        <v>7</v>
      </c>
      <c r="K7" t="s">
        <v>30</v>
      </c>
      <c r="L7">
        <v>4237</v>
      </c>
    </row>
    <row r="8" spans="1:12" x14ac:dyDescent="0.2">
      <c r="A8">
        <v>2009</v>
      </c>
      <c r="B8">
        <v>1780</v>
      </c>
      <c r="C8">
        <v>0.29754395118216098</v>
      </c>
      <c r="D8">
        <v>0.19209589017555101</v>
      </c>
      <c r="E8">
        <f t="shared" si="0"/>
        <v>529</v>
      </c>
      <c r="F8">
        <f t="shared" si="1"/>
        <v>101</v>
      </c>
      <c r="G8">
        <f t="shared" si="2"/>
        <v>29.719101123595504</v>
      </c>
      <c r="H8">
        <f t="shared" si="3"/>
        <v>5.6741573033707864</v>
      </c>
      <c r="J8">
        <v>8</v>
      </c>
      <c r="K8" t="s">
        <v>26</v>
      </c>
      <c r="L8">
        <v>4216</v>
      </c>
    </row>
    <row r="9" spans="1:12" x14ac:dyDescent="0.2">
      <c r="A9">
        <v>2010</v>
      </c>
      <c r="B9">
        <v>2204</v>
      </c>
      <c r="C9">
        <v>0.30515845717163798</v>
      </c>
      <c r="D9">
        <v>0.22639183914288899</v>
      </c>
      <c r="E9">
        <f t="shared" si="0"/>
        <v>672</v>
      </c>
      <c r="F9">
        <f t="shared" si="1"/>
        <v>152</v>
      </c>
      <c r="G9">
        <f t="shared" si="2"/>
        <v>30.490018148820326</v>
      </c>
      <c r="H9">
        <f t="shared" si="3"/>
        <v>6.8965517241379306</v>
      </c>
      <c r="J9">
        <v>9</v>
      </c>
      <c r="K9" t="s">
        <v>4</v>
      </c>
      <c r="L9">
        <v>3281</v>
      </c>
    </row>
    <row r="10" spans="1:12" x14ac:dyDescent="0.2">
      <c r="A10">
        <v>2011</v>
      </c>
      <c r="B10">
        <v>2517</v>
      </c>
      <c r="C10">
        <v>0.26349233036162301</v>
      </c>
      <c r="D10">
        <v>0.15724549177102701</v>
      </c>
      <c r="E10">
        <f t="shared" si="0"/>
        <v>663</v>
      </c>
      <c r="F10">
        <f t="shared" si="1"/>
        <v>104</v>
      </c>
      <c r="G10">
        <f t="shared" si="2"/>
        <v>26.340882002383793</v>
      </c>
      <c r="H10">
        <f t="shared" si="3"/>
        <v>4.131903059197457</v>
      </c>
      <c r="J10">
        <v>10</v>
      </c>
      <c r="K10" t="s">
        <v>8</v>
      </c>
      <c r="L10">
        <v>3956</v>
      </c>
    </row>
    <row r="11" spans="1:12" x14ac:dyDescent="0.2">
      <c r="A11">
        <v>2012</v>
      </c>
      <c r="B11">
        <v>2579</v>
      </c>
      <c r="C11">
        <v>0.30064527653157702</v>
      </c>
      <c r="D11">
        <v>0.15286305183544799</v>
      </c>
      <c r="E11">
        <f t="shared" si="0"/>
        <v>775</v>
      </c>
      <c r="F11">
        <f t="shared" si="1"/>
        <v>118</v>
      </c>
      <c r="G11">
        <f t="shared" si="2"/>
        <v>30.050407134548273</v>
      </c>
      <c r="H11">
        <f t="shared" si="3"/>
        <v>4.5754168282279952</v>
      </c>
      <c r="J11">
        <v>11</v>
      </c>
      <c r="K11" t="s">
        <v>5</v>
      </c>
      <c r="L11">
        <v>3223</v>
      </c>
    </row>
    <row r="12" spans="1:12" x14ac:dyDescent="0.2">
      <c r="A12">
        <v>2013</v>
      </c>
      <c r="B12">
        <v>2932</v>
      </c>
      <c r="C12">
        <v>0.33207781470846398</v>
      </c>
      <c r="D12">
        <v>0.232325917994604</v>
      </c>
      <c r="E12">
        <f t="shared" si="0"/>
        <v>973</v>
      </c>
      <c r="F12">
        <f t="shared" si="1"/>
        <v>226</v>
      </c>
      <c r="G12">
        <f t="shared" si="2"/>
        <v>33.185538881309682</v>
      </c>
      <c r="H12">
        <f t="shared" si="3"/>
        <v>7.7080491132332885</v>
      </c>
      <c r="J12">
        <v>12</v>
      </c>
      <c r="K12" t="s">
        <v>7</v>
      </c>
      <c r="L12">
        <v>2148</v>
      </c>
    </row>
    <row r="13" spans="1:12" x14ac:dyDescent="0.2">
      <c r="A13">
        <v>2014</v>
      </c>
      <c r="B13">
        <v>3101</v>
      </c>
      <c r="C13">
        <v>0.26738582217367401</v>
      </c>
      <c r="D13">
        <v>0.22424962241202601</v>
      </c>
      <c r="E13">
        <f t="shared" si="0"/>
        <v>829</v>
      </c>
      <c r="F13">
        <f t="shared" si="1"/>
        <v>185</v>
      </c>
      <c r="G13">
        <f t="shared" si="2"/>
        <v>26.733311834891971</v>
      </c>
      <c r="H13">
        <f t="shared" si="3"/>
        <v>5.9658174782328279</v>
      </c>
      <c r="J13">
        <v>13</v>
      </c>
      <c r="K13" t="s">
        <v>15</v>
      </c>
      <c r="L13">
        <v>2377</v>
      </c>
    </row>
    <row r="14" spans="1:12" x14ac:dyDescent="0.2">
      <c r="A14">
        <v>2015</v>
      </c>
      <c r="B14">
        <v>3407</v>
      </c>
      <c r="C14">
        <v>0.336028400599025</v>
      </c>
      <c r="D14">
        <v>0.161403922876343</v>
      </c>
      <c r="E14">
        <f t="shared" si="0"/>
        <v>1144</v>
      </c>
      <c r="F14">
        <f t="shared" si="1"/>
        <v>184</v>
      </c>
      <c r="G14">
        <f t="shared" si="2"/>
        <v>33.577927795714707</v>
      </c>
      <c r="H14">
        <f t="shared" si="3"/>
        <v>5.4006457293806864</v>
      </c>
      <c r="J14">
        <v>14</v>
      </c>
      <c r="K14" t="s">
        <v>12</v>
      </c>
      <c r="L14">
        <v>1070</v>
      </c>
    </row>
    <row r="15" spans="1:12" x14ac:dyDescent="0.2">
      <c r="A15">
        <v>2016</v>
      </c>
      <c r="B15">
        <v>3581</v>
      </c>
      <c r="C15">
        <v>0.26679945286596202</v>
      </c>
      <c r="D15">
        <v>0.19425708302296699</v>
      </c>
      <c r="E15">
        <f t="shared" si="0"/>
        <v>955</v>
      </c>
      <c r="F15">
        <f t="shared" si="1"/>
        <v>185</v>
      </c>
      <c r="G15">
        <f t="shared" si="2"/>
        <v>26.668528344037977</v>
      </c>
      <c r="H15">
        <f t="shared" si="3"/>
        <v>5.1661547053895553</v>
      </c>
      <c r="J15">
        <v>15</v>
      </c>
      <c r="K15" t="s">
        <v>16</v>
      </c>
      <c r="L15">
        <v>823</v>
      </c>
    </row>
    <row r="16" spans="1:12" x14ac:dyDescent="0.2">
      <c r="A16">
        <v>2017</v>
      </c>
      <c r="B16">
        <v>3892</v>
      </c>
      <c r="C16">
        <v>0.34660179339116398</v>
      </c>
      <c r="D16">
        <v>0.190370302787051</v>
      </c>
      <c r="E16">
        <f t="shared" si="0"/>
        <v>1348</v>
      </c>
      <c r="F16">
        <f t="shared" si="1"/>
        <v>256</v>
      </c>
      <c r="G16">
        <f t="shared" si="2"/>
        <v>34.635149023638235</v>
      </c>
      <c r="H16">
        <f t="shared" si="3"/>
        <v>6.5775950668037</v>
      </c>
      <c r="J16">
        <v>16</v>
      </c>
      <c r="K16" t="s">
        <v>10</v>
      </c>
      <c r="L16">
        <v>1321</v>
      </c>
    </row>
    <row r="17" spans="1:12" x14ac:dyDescent="0.2">
      <c r="A17">
        <v>2018</v>
      </c>
      <c r="B17">
        <v>4350</v>
      </c>
      <c r="C17">
        <v>0.37656018059933599</v>
      </c>
      <c r="D17">
        <v>0.28647884563542902</v>
      </c>
      <c r="E17">
        <f t="shared" si="0"/>
        <v>1638</v>
      </c>
      <c r="F17">
        <f t="shared" si="1"/>
        <v>469</v>
      </c>
      <c r="G17">
        <f t="shared" si="2"/>
        <v>37.655172413793103</v>
      </c>
      <c r="H17">
        <f t="shared" si="3"/>
        <v>10.781609195402298</v>
      </c>
      <c r="J17">
        <v>17</v>
      </c>
      <c r="K17" t="s">
        <v>17</v>
      </c>
      <c r="L17">
        <v>260</v>
      </c>
    </row>
    <row r="18" spans="1:12" x14ac:dyDescent="0.2">
      <c r="A18">
        <v>2019</v>
      </c>
      <c r="B18">
        <v>4549</v>
      </c>
      <c r="C18">
        <v>0.28131435785908299</v>
      </c>
      <c r="D18">
        <v>0.13591764960437999</v>
      </c>
      <c r="E18">
        <f t="shared" si="0"/>
        <v>1279</v>
      </c>
      <c r="F18">
        <f t="shared" si="1"/>
        <v>173</v>
      </c>
      <c r="G18">
        <f t="shared" si="2"/>
        <v>28.116069465816661</v>
      </c>
      <c r="H18">
        <f t="shared" si="3"/>
        <v>3.8030336337656632</v>
      </c>
      <c r="J18">
        <v>18</v>
      </c>
      <c r="K18" t="s">
        <v>23</v>
      </c>
      <c r="L18">
        <v>208</v>
      </c>
    </row>
    <row r="19" spans="1:12" x14ac:dyDescent="0.2">
      <c r="A19">
        <v>2020</v>
      </c>
      <c r="B19">
        <v>4521</v>
      </c>
      <c r="C19">
        <v>0.360295587254223</v>
      </c>
      <c r="D19">
        <v>0.246802770812064</v>
      </c>
      <c r="E19">
        <f t="shared" si="0"/>
        <v>1628</v>
      </c>
      <c r="F19">
        <f t="shared" si="1"/>
        <v>402</v>
      </c>
      <c r="G19">
        <f t="shared" si="2"/>
        <v>36.009732360097324</v>
      </c>
      <c r="H19">
        <f t="shared" si="3"/>
        <v>8.8918380889183819</v>
      </c>
      <c r="J19">
        <v>19</v>
      </c>
      <c r="K19" t="s">
        <v>20</v>
      </c>
      <c r="L19">
        <v>456</v>
      </c>
    </row>
    <row r="20" spans="1:12" x14ac:dyDescent="0.2">
      <c r="A20">
        <v>2021</v>
      </c>
      <c r="B20">
        <v>4521</v>
      </c>
      <c r="C20">
        <v>0.28916955154854801</v>
      </c>
      <c r="D20">
        <v>0.274410646269098</v>
      </c>
      <c r="E20">
        <f t="shared" si="0"/>
        <v>1307</v>
      </c>
      <c r="F20">
        <f t="shared" si="1"/>
        <v>358</v>
      </c>
      <c r="G20">
        <f t="shared" si="2"/>
        <v>28.909533289095336</v>
      </c>
      <c r="H20">
        <f t="shared" si="3"/>
        <v>7.9186020791860212</v>
      </c>
    </row>
    <row r="21" spans="1:12" x14ac:dyDescent="0.2">
      <c r="A21">
        <v>2022</v>
      </c>
      <c r="B21">
        <v>4520</v>
      </c>
      <c r="C21">
        <v>0.26857454481068999</v>
      </c>
      <c r="D21">
        <v>0.21397334029897999</v>
      </c>
      <c r="E21">
        <f t="shared" si="0"/>
        <v>1213</v>
      </c>
      <c r="F21">
        <f t="shared" si="1"/>
        <v>259</v>
      </c>
      <c r="G21">
        <f t="shared" si="2"/>
        <v>26.83628318584071</v>
      </c>
      <c r="H21">
        <f t="shared" si="3"/>
        <v>5.7300884955752212</v>
      </c>
    </row>
    <row r="22" spans="1:12" x14ac:dyDescent="0.2">
      <c r="A22">
        <v>2023</v>
      </c>
      <c r="B22">
        <v>4850</v>
      </c>
      <c r="C22">
        <v>0.29068916667020001</v>
      </c>
      <c r="D22">
        <v>0.108221662417054</v>
      </c>
      <c r="E22">
        <f t="shared" si="0"/>
        <v>1409</v>
      </c>
      <c r="F22">
        <f t="shared" si="1"/>
        <v>152</v>
      </c>
      <c r="G22">
        <f t="shared" si="2"/>
        <v>29.051546391752574</v>
      </c>
      <c r="H22">
        <f t="shared" si="3"/>
        <v>3.134020618556701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IBV</vt:lpstr>
      <vt:lpstr>AIV</vt:lpstr>
      <vt:lpstr>ARV</vt:lpstr>
      <vt:lpstr>IBDV</vt:lpstr>
      <vt:lpstr>NDV</vt:lpstr>
      <vt:lpstr>ILDV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azzurro</dc:creator>
  <cp:lastModifiedBy>Congciu Zau</cp:lastModifiedBy>
  <dcterms:created xsi:type="dcterms:W3CDTF">2025-06-03T06:58:09Z</dcterms:created>
  <dcterms:modified xsi:type="dcterms:W3CDTF">2025-06-04T07:38:36Z</dcterms:modified>
</cp:coreProperties>
</file>